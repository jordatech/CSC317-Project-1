
<file path=[Content_Types].xml><?xml version="1.0" encoding="utf-8"?>
<Types xmlns="http://schemas.openxmlformats.org/package/2006/content-types">
  <Override PartName="/_rels/.rels" ContentType="application/vnd.openxmlformats-package.relationships+xml"/>
  <Override PartName="/xl/_rels/workbook.xml.rels" ContentType="application/vnd.openxmlformats-package.relationships+xml"/>
  <Override PartName="/xl/worksheets/sheet6.xml" ContentType="application/vnd.openxmlformats-officedocument.spreadsheetml.worksheet+xml"/>
  <Override PartName="/xl/worksheets/sheet3.xml" ContentType="application/vnd.openxmlformats-officedocument.spreadsheetml.worksheet+xml"/>
  <Override PartName="/xl/worksheets/sheet7.xml" ContentType="application/vnd.openxmlformats-officedocument.spreadsheetml.worksheet+xml"/>
  <Override PartName="/xl/worksheets/sheet10.xml" ContentType="application/vnd.openxmlformats-officedocument.spreadsheetml.worksheet+xml"/>
  <Override PartName="/xl/worksheets/sheet4.xml" ContentType="application/vnd.openxmlformats-officedocument.spreadsheetml.worksheet+xml"/>
  <Override PartName="/xl/worksheets/sheet8.xml" ContentType="application/vnd.openxmlformats-officedocument.spreadsheetml.worksheet+xml"/>
  <Override PartName="/xl/worksheets/sheet1.xml" ContentType="application/vnd.openxmlformats-officedocument.spreadsheetml.worksheet+xml"/>
  <Override PartName="/xl/worksheets/sheet5.xml" ContentType="application/vnd.openxmlformats-officedocument.spreadsheetml.worksheet+xml"/>
  <Override PartName="/xl/worksheets/sheet9.xml" ContentType="application/vnd.openxmlformats-officedocument.spreadsheetml.worksheet+xml"/>
  <Override PartName="/xl/worksheets/sheet2.xml" ContentType="application/vnd.openxmlformats-officedocument.spreadsheetml.worksheet+xml"/>
  <Override PartName="/xl/sharedStrings.xml" ContentType="application/vnd.openxmlformats-officedocument.spreadsheetml.sharedStrings+xml"/>
  <Override PartName="/xl/workbook.xml" ContentType="application/vnd.openxmlformats-officedocument.spreadsheetml.sheet.main+xml"/>
  <Override PartName="/xl/styles.xml" ContentType="application/vnd.openxmlformats-officedocument.spreadsheetml.styles+xml"/>
  <Override PartName="/docProps/app.xml" ContentType="application/vnd.openxmlformats-officedocument.extended-properties+xml"/>
  <Override PartName="/docProps/core.xml" ContentType="application/vnd.openxmlformats-package.core-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activeTab="7" firstSheet="0" showHorizontalScroll="true" showSheetTabs="true" showVerticalScroll="true" tabRatio="469" windowHeight="8192" windowWidth="16384" xWindow="0" yWindow="0"/>
  </bookViews>
  <sheets>
    <sheet name="OP_CODES" sheetId="1" state="visible" r:id="rId2"/>
    <sheet name="Whole Processor Validation Key" sheetId="2" state="visible" r:id="rId3"/>
    <sheet name="Validating JMP" sheetId="3" state="visible" r:id="rId4"/>
    <sheet name="Validating JSR,RTS" sheetId="4" state="visible" r:id="rId5"/>
    <sheet name="Validating BEQ" sheetId="5" state="visible" r:id="rId6"/>
    <sheet name="Register File Table" sheetId="6" state="visible" r:id="rId7"/>
    <sheet name="MEMORY Table" sheetId="7" state="visible" r:id="rId8"/>
    <sheet name="Copyable Debugging Format" sheetId="8" state="visible" r:id="rId9"/>
    <sheet name="Copyable Test Set Format" sheetId="9" state="visible" r:id="rId10"/>
    <sheet name="Pseudocode Test Script Phase#2" sheetId="10" state="visible" r:id="rId11"/>
  </sheets>
  <calcPr iterateCount="100" refMode="A1" iterate="false" iterateDelta="0.0001"/>
</workbook>
</file>

<file path=xl/sharedStrings.xml><?xml version="1.0" encoding="utf-8"?>
<sst xmlns="http://schemas.openxmlformats.org/spreadsheetml/2006/main" count="2024" uniqueCount="607">
  <si>
    <t>Phase 2</t>
  </si>
  <si>
    <t>IR</t>
  </si>
  <si>
    <t>Format</t>
  </si>
  <si>
    <t>OP Code</t>
  </si>
  <si>
    <t>ALU_Op [DEC]</t>
  </si>
  <si>
    <t>ALU_Op [HEX]</t>
  </si>
  <si>
    <t>Mnemonic</t>
  </si>
  <si>
    <t>Arithmetic</t>
  </si>
  <si>
    <t>a</t>
  </si>
  <si>
    <t>0000_0000001_000000</t>
  </si>
  <si>
    <t>1</t>
  </si>
  <si>
    <t>ADD</t>
  </si>
  <si>
    <t>0000_0000100_000000</t>
  </si>
  <si>
    <t>2</t>
  </si>
  <si>
    <t>SUB</t>
  </si>
  <si>
    <t>0000_0001000_000000</t>
  </si>
  <si>
    <t>3</t>
  </si>
  <si>
    <t>AND</t>
  </si>
  <si>
    <t>0000_0001001_000000</t>
  </si>
  <si>
    <t>4</t>
  </si>
  <si>
    <t>OR</t>
  </si>
  <si>
    <t>0000_0001010_000000</t>
  </si>
  <si>
    <t>5</t>
  </si>
  <si>
    <t>NEG</t>
  </si>
  <si>
    <t>0000_0001011_000000</t>
  </si>
  <si>
    <t>6</t>
  </si>
  <si>
    <t>XOR</t>
  </si>
  <si>
    <t>0000_0001100_000000</t>
  </si>
  <si>
    <t>7</t>
  </si>
  <si>
    <t>COMP</t>
  </si>
  <si>
    <t>IF(OR(F12="LD",F12="LDU",F12="ADD",F12="SUB",F12="AND",F12="OR",F12="XOR"),1,0)</t>
  </si>
  <si>
    <t>Shift/Rotate</t>
  </si>
  <si>
    <t>0000_0010000_000000</t>
  </si>
  <si>
    <t>8</t>
  </si>
  <si>
    <t>LSR</t>
  </si>
  <si>
    <t>Logical Shift Right (shift one bit position only)</t>
  </si>
  <si>
    <t>0000_0010001_000000</t>
  </si>
  <si>
    <t>9</t>
  </si>
  <si>
    <t>ASR</t>
  </si>
  <si>
    <t>Arithmetic Shift Right (shift one bit position only)</t>
  </si>
  <si>
    <t>0000_0010011_000000</t>
  </si>
  <si>
    <t>10</t>
  </si>
  <si>
    <t>LSL</t>
  </si>
  <si>
    <t>Logical Shift Left (shift one bit position only)</t>
  </si>
  <si>
    <t>ASL</t>
  </si>
  <si>
    <t>Arithmetic Shift Left (shift one bit position only)</t>
  </si>
  <si>
    <t>0000_0011001_000000</t>
  </si>
  <si>
    <t>11</t>
  </si>
  <si>
    <t>ROR</t>
  </si>
  <si>
    <t>Rotate Right (by one bit position)</t>
  </si>
  <si>
    <t>0000_0011010_000000</t>
  </si>
  <si>
    <t>12</t>
  </si>
  <si>
    <t>ROL</t>
  </si>
  <si>
    <t>Rotate Left (by one bit position)</t>
  </si>
  <si>
    <t>Load/copy</t>
  </si>
  <si>
    <t>0000_0100000_000000</t>
  </si>
  <si>
    <t>13</t>
  </si>
  <si>
    <t>MOVE</t>
  </si>
  <si>
    <t>(Copy)</t>
  </si>
  <si>
    <t>0000_0100001_000000</t>
  </si>
  <si>
    <t>14</t>
  </si>
  <si>
    <t>LBI</t>
  </si>
  <si>
    <t>Load Base with Index</t>
  </si>
  <si>
    <t>0000_0100010_000000</t>
  </si>
  <si>
    <t>15</t>
  </si>
  <si>
    <t>LDRi</t>
  </si>
  <si>
    <t>Load Register Indirect</t>
  </si>
  <si>
    <t>Rsrc2 contains a pointer to the value to be copied into Rdst</t>
  </si>
  <si>
    <t>NOP</t>
  </si>
  <si>
    <t>XXXX_XXXXXXX_111111</t>
  </si>
  <si>
    <t>0</t>
  </si>
  <si>
    <t>No OPeration</t>
  </si>
  <si>
    <t>Format B Loads</t>
  </si>
  <si>
    <t>b</t>
  </si>
  <si>
    <t>32</t>
  </si>
  <si>
    <t>LD #</t>
  </si>
  <si>
    <t>Load immediate</t>
  </si>
  <si>
    <t>The value in the immediate field is sign extended and placed in the Rdst</t>
  </si>
  <si>
    <t>33</t>
  </si>
  <si>
    <t>LDU #</t>
  </si>
  <si>
    <t>Load unsigned immediate</t>
  </si>
  <si>
    <t>The value in the immediate field is padded with zeros to the left and placed in Rdst</t>
  </si>
  <si>
    <t>Phase 3</t>
  </si>
  <si>
    <t>Jumps</t>
  </si>
  <si>
    <t>0000_1000000_000000</t>
  </si>
  <si>
    <t>16</t>
  </si>
  <si>
    <t>JMP</t>
  </si>
  <si>
    <t>Jump</t>
  </si>
  <si>
    <t>Place the contents of Rsrc1 into the PC</t>
  </si>
  <si>
    <t>0000_1000001_000000</t>
  </si>
  <si>
    <t>17</t>
  </si>
  <si>
    <t>JSR</t>
  </si>
  <si>
    <t>Jump to Subroutine</t>
  </si>
  <si>
    <t>Address of subroutine in Register Rsrc1, store return address in LINK register, which is always R30.</t>
  </si>
  <si>
    <t>0000_1000011_000000</t>
  </si>
  <si>
    <t>18</t>
  </si>
  <si>
    <t>RTS</t>
  </si>
  <si>
    <t>Return from Subroutine</t>
  </si>
  <si>
    <t>Rsrc1 contains the register number for the link register (R30).</t>
  </si>
  <si>
    <t>000001</t>
  </si>
  <si>
    <t>34</t>
  </si>
  <si>
    <t>ADD #</t>
  </si>
  <si>
    <t>Add immediate</t>
  </si>
  <si>
    <t>The immediate value is sign extended and added to the contents of Rsrc.  The result is stored in Rdst</t>
  </si>
  <si>
    <t>000100</t>
  </si>
  <si>
    <t>35</t>
  </si>
  <si>
    <t>SUB #</t>
  </si>
  <si>
    <t>Subtract immediate</t>
  </si>
  <si>
    <t>The immediate value is sign extended and subtracted from the contents of Rsrc.  The result is stored in Rdst</t>
  </si>
  <si>
    <t>001000</t>
  </si>
  <si>
    <t>36</t>
  </si>
  <si>
    <t>AND #</t>
  </si>
  <si>
    <t>The immediate value is padded with zeros on the left and ANDed with the contents of Rsrc.  The result is place in Rdst</t>
  </si>
  <si>
    <t>001001</t>
  </si>
  <si>
    <t>37</t>
  </si>
  <si>
    <t>OR #</t>
  </si>
  <si>
    <t>001011</t>
  </si>
  <si>
    <t>38</t>
  </si>
  <si>
    <t>XOR #</t>
  </si>
  <si>
    <t>Conditional Branches</t>
  </si>
  <si>
    <t>001100</t>
  </si>
  <si>
    <t>39</t>
  </si>
  <si>
    <t>BEQ</t>
  </si>
  <si>
    <t>Branch if EQual</t>
  </si>
  <si>
    <t>If the contents of the two registers are equal, add the 2's complement immediate value to the PC</t>
  </si>
  <si>
    <t>001010</t>
  </si>
  <si>
    <t>40</t>
  </si>
  <si>
    <t>BNE</t>
  </si>
  <si>
    <t>Branch if Not Equal</t>
  </si>
  <si>
    <t>001111</t>
  </si>
  <si>
    <t>41</t>
  </si>
  <si>
    <t>BLT</t>
  </si>
  <si>
    <t>Branch if Less Than</t>
  </si>
  <si>
    <t>If the unsigned contents of Rsrc are less than the contents of Rdst, add the 2's complement immediate value to the PC</t>
  </si>
  <si>
    <t>Load/Stores</t>
  </si>
  <si>
    <t>100000</t>
  </si>
  <si>
    <t>42</t>
  </si>
  <si>
    <t>LDA</t>
  </si>
  <si>
    <t>Load Absolute</t>
  </si>
  <si>
    <t>The immediate value is zero-filled to the left and used as an address. Rdst is then loaded from this address. This requires the adder in Figure 5.10 to be able to just pass the immediate value through (without adding to the PC), which requires an additional control line that is not implied by Figure 5.10</t>
  </si>
  <si>
    <t>010000</t>
  </si>
  <si>
    <t>43</t>
  </si>
  <si>
    <t>STA</t>
  </si>
  <si>
    <t>STore Absolute</t>
  </si>
  <si>
    <t>The immediate value is zero-filled to the left and used as an address. Rdst (yes, Rdst!) is then stored to this address. Requires modifications similar to the LDA instruction</t>
  </si>
  <si>
    <t>100001</t>
  </si>
  <si>
    <t>44</t>
  </si>
  <si>
    <t>LDIX</t>
  </si>
  <si>
    <t>LoaD IndeXed</t>
  </si>
  <si>
    <t>The unsigned immediate value is added to the contents of Rsrc to obtain the EA. Rdst is then loaded from the memory location EA</t>
  </si>
  <si>
    <t>010001</t>
  </si>
  <si>
    <t>45</t>
  </si>
  <si>
    <t>STIX</t>
  </si>
  <si>
    <t>STore IndeXed</t>
  </si>
  <si>
    <t>The unsigned immediate value is added to the contents of Rsrc to obtain the EA. Rdst is then stored to the memory location EA</t>
  </si>
  <si>
    <t>Unconditional Branches</t>
  </si>
  <si>
    <t>c</t>
  </si>
  <si>
    <t>110000</t>
  </si>
  <si>
    <t>64</t>
  </si>
  <si>
    <t>BRA</t>
  </si>
  <si>
    <t>Branch</t>
  </si>
  <si>
    <t>Add the 2's complement immediate value to the PC.  (wider address range than Bxx, probably more than we'll actually be able to test)</t>
  </si>
  <si>
    <t>110001</t>
  </si>
  <si>
    <t>65</t>
  </si>
  <si>
    <t>BSR</t>
  </si>
  <si>
    <t>Branch to SubRoutine</t>
  </si>
  <si>
    <t>Add the 2's complement immediate value to the PC and store return address in the LINK register, which is always R30.</t>
  </si>
  <si>
    <t>KEY, Edit Minamally</t>
  </si>
  <si>
    <t>Jordan D. Ulmer &amp;&amp; Patrick J. Schroeder</t>
  </si>
  <si>
    <t>Processor Validation Spreadsheet</t>
  </si>
  <si>
    <t>Kyle's Compiler Key</t>
  </si>
  <si>
    <t>Max IMMEDIATE</t>
  </si>
  <si>
    <t>FA2014 (11/23/2014)</t>
  </si>
  <si>
    <t>Format A ===</t>
  </si>
  <si>
    <t>OPName</t>
  </si>
  <si>
    <t>Rdestination</t>
  </si>
  <si>
    <t>Rsource1</t>
  </si>
  <si>
    <t>Rsource2</t>
  </si>
  <si>
    <t>Format B ===</t>
  </si>
  <si>
    <t>ImmediateValue</t>
  </si>
  <si>
    <t>Format C ===</t>
  </si>
  <si>
    <t>HEX Contents Of The Register File</t>
  </si>
  <si>
    <t>Conventionally RSRC1</t>
  </si>
  <si>
    <t>Conventionally RSRC2</t>
  </si>
  <si>
    <t>Conventionally RDST</t>
  </si>
  <si>
    <t>OP</t>
  </si>
  <si>
    <t>RTL Instruction</t>
  </si>
  <si>
    <t>Comments</t>
  </si>
  <si>
    <t>Compiler  Format</t>
  </si>
  <si>
    <t>MIF Instruction</t>
  </si>
  <si>
    <t>Instruction Format</t>
  </si>
  <si>
    <t>DEC Rdst</t>
  </si>
  <si>
    <t>DEC Src1</t>
  </si>
  <si>
    <t>DEC Src2</t>
  </si>
  <si>
    <t>DEC Immediate</t>
  </si>
  <si>
    <t>HEX Immediate</t>
  </si>
  <si>
    <t>PC</t>
  </si>
  <si>
    <t>Flags</t>
  </si>
  <si>
    <t>R[0]</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</si>
  <si>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</si>
  <si>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</si>
  <si>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</si>
  <si>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</si>
  <si>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</si>
  <si>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</si>
  <si>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</si>
  <si>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</si>
  <si>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</si>
  <si>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</si>
  <si>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</si>
  <si>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</si>
  <si>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</si>
  <si>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</si>
  <si>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</si>
  <si>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</si>
  <si>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</si>
  <si>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</si>
  <si>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</si>
  <si>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</si>
  <si>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</si>
  <si>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</si>
  <si>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</si>
  <si>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</si>
  <si>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</si>
  <si>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</si>
  <si>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</si>
  <si>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</si>
  <si>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</si>
  <si>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</si>
  <si>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</si>
  <si>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</si>
  <si>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t>
  </si>
  <si>
    <t>Validate No Operation</t>
  </si>
  <si>
    <t>B</t>
  </si>
  <si>
    <t>Validate LDU#</t>
  </si>
  <si>
    <t>LDU</t>
  </si>
  <si>
    <t>Validate ADD Without An Overflow -- 16 Bit Immdiate Values Will Not Produce Overflow</t>
  </si>
  <si>
    <t>A</t>
  </si>
  <si>
    <t>Validate LD#</t>
  </si>
  <si>
    <t>LD</t>
  </si>
  <si>
    <t>Validate SUB  (Zero Flag)</t>
  </si>
  <si>
    <t>ZERO_FLAG</t>
  </si>
  <si>
    <t>Validate Twos Complement Negation (Negative Flag)</t>
  </si>
  <si>
    <t>NEGATIVE_FLAG</t>
  </si>
  <si>
    <t>Validate Bitwise AnD</t>
  </si>
  <si>
    <t>Validate Bitwise OR</t>
  </si>
  <si>
    <t>Validate Bitwise XOR</t>
  </si>
  <si>
    <t>Validate Bitwise One's Complement -- Twos Comp Minus One</t>
  </si>
  <si>
    <t>Validate Logical Shift Left One Bit</t>
  </si>
  <si>
    <t>Validate Logical Shift Right One Bit</t>
  </si>
  <si>
    <t>Validate Arithmetical Shift Left One Bit</t>
  </si>
  <si>
    <t>Validate Arithmetical Shift Right One Bit</t>
  </si>
  <si>
    <t>Validate Rotate With Carry Left One Bit</t>
  </si>
  <si>
    <t>Validate Rotate With Carry Right One Bit</t>
  </si>
  <si>
    <t>CARRY_FLAG</t>
  </si>
  <si>
    <t>Validate ADD Immediate Without An Overflow -- 16 Bit Immdiate Values Will Not Produce Overflow</t>
  </si>
  <si>
    <t>Validate Store Absolute</t>
  </si>
  <si>
    <t>Validate Load Absolute</t>
  </si>
  <si>
    <t>Validate Store Indexed</t>
  </si>
  <si>
    <t>Validate Load Indexed</t>
  </si>
  <si>
    <t>Validate Move/Copy</t>
  </si>
  <si>
    <t>Validate Load Base With Index</t>
  </si>
  <si>
    <t>Validate Load Register Indirect</t>
  </si>
  <si>
    <t>Validate Jump PC to RSRC1</t>
  </si>
  <si>
    <t>Validate Jump PC to Subroutine</t>
  </si>
  <si>
    <t>Validate Return From Subroutine</t>
  </si>
  <si>
    <t>Validate Branch if Equal To</t>
  </si>
  <si>
    <t>Validate Branch if NOT Equal To</t>
  </si>
  <si>
    <t>Validate Branch if Less Than</t>
  </si>
  <si>
    <t>C</t>
  </si>
  <si>
    <t>JSR, RTS</t>
  </si>
  <si>
    <t>BEQ/BLT/BNE</t>
  </si>
  <si>
    <t>Will Be Very Similar, But Need To Be In 3 Separate Sheets</t>
  </si>
  <si>
    <t>REGISTER FILE</t>
  </si>
  <si>
    <t>REGISTER FILE (0-&gt;31)</t>
  </si>
  <si>
    <t>MIF</t>
  </si>
  <si>
    <t>MEMORY</t>
  </si>
  <si>
    <t>ROM(0-&gt;63)</t>
  </si>
  <si>
    <t>RAM(64-&gt;127)</t>
  </si>
  <si>
    <t>MEM_ERROR(EA&gt;127)</t>
  </si>
  <si>
    <t>R[33]</t>
  </si>
  <si>
    <t>R[34]</t>
  </si>
  <si>
    <t>R[35]</t>
  </si>
  <si>
    <t>R[36]</t>
  </si>
  <si>
    <t>R[37]</t>
  </si>
  <si>
    <t>R[38]</t>
  </si>
  <si>
    <t>R[39]</t>
  </si>
  <si>
    <t>R[40]</t>
  </si>
  <si>
    <t>R[41]</t>
  </si>
  <si>
    <t>R[42]</t>
  </si>
  <si>
    <t>R[43]</t>
  </si>
  <si>
    <t>R[44]</t>
  </si>
  <si>
    <t>R[45]</t>
  </si>
  <si>
    <t>R[46]</t>
  </si>
  <si>
    <t>R[47]</t>
  </si>
  <si>
    <t>R[48]</t>
  </si>
  <si>
    <t>R[49]</t>
  </si>
  <si>
    <t>R[50]</t>
  </si>
  <si>
    <t>R[51]</t>
  </si>
  <si>
    <t>R[52]</t>
  </si>
  <si>
    <t>R[53]</t>
  </si>
  <si>
    <t>R[54]</t>
  </si>
  <si>
    <t>R[55]</t>
  </si>
  <si>
    <t>R[56]</t>
  </si>
  <si>
    <t>R[57]</t>
  </si>
  <si>
    <t>R[58]</t>
  </si>
  <si>
    <t>R[59]</t>
  </si>
  <si>
    <t>R[60]</t>
  </si>
  <si>
    <t>R[61]</t>
  </si>
  <si>
    <t>R[62]</t>
  </si>
  <si>
    <t>R[63]</t>
  </si>
  <si>
    <t>R[64]</t>
  </si>
  <si>
    <t>R[65]</t>
  </si>
  <si>
    <t>R[66]</t>
  </si>
  <si>
    <t>R[67]</t>
  </si>
  <si>
    <t>R[68]</t>
  </si>
  <si>
    <t>R[69]</t>
  </si>
  <si>
    <t>R[70]</t>
  </si>
  <si>
    <t>R[71]</t>
  </si>
  <si>
    <t>R[72]</t>
  </si>
  <si>
    <t>R[73]</t>
  </si>
  <si>
    <t>R[74]</t>
  </si>
  <si>
    <t>R[75]</t>
  </si>
  <si>
    <t>R[76]</t>
  </si>
  <si>
    <t>R[77]</t>
  </si>
  <si>
    <t>R[78]</t>
  </si>
  <si>
    <t>R[79]</t>
  </si>
  <si>
    <t>R[80]</t>
  </si>
  <si>
    <t>R[81]</t>
  </si>
  <si>
    <t>R[82]</t>
  </si>
  <si>
    <t>R[83]</t>
  </si>
  <si>
    <t>R[84]</t>
  </si>
  <si>
    <t>R[85]</t>
  </si>
  <si>
    <t>R[86]</t>
  </si>
  <si>
    <t>R[87]</t>
  </si>
  <si>
    <t>R[88]</t>
  </si>
  <si>
    <t>R[89]</t>
  </si>
  <si>
    <t>R[90]</t>
  </si>
  <si>
    <t>R[91]</t>
  </si>
  <si>
    <t>R[92]</t>
  </si>
  <si>
    <t>R[93]</t>
  </si>
  <si>
    <t>R[94]</t>
  </si>
  <si>
    <t>R[95]</t>
  </si>
  <si>
    <t>R[96]</t>
  </si>
  <si>
    <t>R[97]</t>
  </si>
  <si>
    <t>R[98]</t>
  </si>
  <si>
    <t>R[99]</t>
  </si>
  <si>
    <t>R[100]</t>
  </si>
  <si>
    <t>R[101]</t>
  </si>
  <si>
    <t>R[102]</t>
  </si>
  <si>
    <t>R[103]</t>
  </si>
  <si>
    <t>R[104]</t>
  </si>
  <si>
    <t>R[105]</t>
  </si>
  <si>
    <t>R[106]</t>
  </si>
  <si>
    <t>R[107]</t>
  </si>
  <si>
    <t>R[108]</t>
  </si>
  <si>
    <t>R[109]</t>
  </si>
  <si>
    <t>R[110]</t>
  </si>
  <si>
    <t>R[111]</t>
  </si>
  <si>
    <t>R[112]</t>
  </si>
  <si>
    <t>R[113]</t>
  </si>
  <si>
    <t>R[114]</t>
  </si>
  <si>
    <t>R[115]</t>
  </si>
  <si>
    <t>R[116]</t>
  </si>
  <si>
    <t>R[117]</t>
  </si>
  <si>
    <t>R[118]</t>
  </si>
  <si>
    <t>R[119]</t>
  </si>
  <si>
    <t>R[120]</t>
  </si>
  <si>
    <t>R[121]</t>
  </si>
  <si>
    <t>R[122]</t>
  </si>
  <si>
    <t>R[123]</t>
  </si>
  <si>
    <t>R[124]</t>
  </si>
  <si>
    <t>R[125]</t>
  </si>
  <si>
    <t>R[126]</t>
  </si>
  <si>
    <t>R[127]</t>
  </si>
  <si>
    <t>ImmediateLogic.mif</t>
  </si>
  <si>
    <t>Instruction</t>
  </si>
  <si>
    <t>MEM_Data_Out [11]</t>
  </si>
  <si>
    <t>IR_Out [2]</t>
  </si>
  <si>
    <t>Immediate_Out [18]</t>
  </si>
  <si>
    <t>RA_Out [5]</t>
  </si>
  <si>
    <t>RB_Out [6]</t>
  </si>
  <si>
    <t>RZ_Out [7]</t>
  </si>
  <si>
    <t>RY_Out [9]</t>
  </si>
  <si>
    <t>CCF (N,Z,V,C) [3]</t>
  </si>
  <si>
    <t>RTL</t>
  </si>
  <si>
    <t>Hex Value</t>
  </si>
  <si>
    <t>Expected Value</t>
  </si>
  <si>
    <t>Stage</t>
  </si>
  <si>
    <t>HEX Value</t>
  </si>
  <si>
    <t>B LDU R1,R0,1</t>
  </si>
  <si>
    <t>R[1] &lt;= 1</t>
  </si>
  <si>
    <t>00400063</t>
  </si>
  <si>
    <t>00 40 0063</t>
  </si>
  <si>
    <t>00 00 0001</t>
  </si>
  <si>
    <t>00 00 0000</t>
  </si>
  <si>
    <t>00 00 1000</t>
  </si>
  <si>
    <t>N</t>
  </si>
  <si>
    <t>B ADD R3,R1,4</t>
  </si>
  <si>
    <t>R[3] &lt;= R[1] + 4</t>
  </si>
  <si>
    <t>08C00101</t>
  </si>
  <si>
    <t>08 C0 0101</t>
  </si>
  <si>
    <t>00 00 0004</t>
  </si>
  <si>
    <t>00 00 0005</t>
  </si>
  <si>
    <t>B LD R1,R0,-3</t>
  </si>
  <si>
    <t>R[1] &lt;= -3</t>
  </si>
  <si>
    <t>007FFF62</t>
  </si>
  <si>
    <t>00 7F FF62</t>
  </si>
  <si>
    <t>FF FF FFFd</t>
  </si>
  <si>
    <t>-3</t>
  </si>
  <si>
    <t>B SUB R3,R1,-3</t>
  </si>
  <si>
    <t>R[3] &lt;= R[1] - (-3)</t>
  </si>
  <si>
    <t>08FFFF44</t>
  </si>
  <si>
    <t>08 FF FF44</t>
  </si>
  <si>
    <t>00 00 0010</t>
  </si>
  <si>
    <t>Z</t>
  </si>
  <si>
    <t>V</t>
  </si>
  <si>
    <t>B LDU R1,R0,15</t>
  </si>
  <si>
    <t>R[1] &lt;= 15</t>
  </si>
  <si>
    <t>004003E3</t>
  </si>
  <si>
    <t>00 40 03E3</t>
  </si>
  <si>
    <t>00 00 000F</t>
  </si>
  <si>
    <t>B AND R3,R1,45</t>
  </si>
  <si>
    <t>R[3] &lt;= R[1] &amp; 45</t>
  </si>
  <si>
    <t>08C00B48</t>
  </si>
  <si>
    <t>08 C0 0648</t>
  </si>
  <si>
    <t>00 00 002d</t>
  </si>
  <si>
    <t>00 00 003C</t>
  </si>
  <si>
    <t>d</t>
  </si>
  <si>
    <t>00 1111 &amp; 10 1101 = 11 1100</t>
  </si>
  <si>
    <t>B LDU R1,R0,9</t>
  </si>
  <si>
    <t>R[1] &lt;= 9</t>
  </si>
  <si>
    <t>00400263</t>
  </si>
  <si>
    <t>00 40 0263</t>
  </si>
  <si>
    <t>00 00 0009</t>
  </si>
  <si>
    <t>B OR R3,R1,3</t>
  </si>
  <si>
    <t>R[3] &lt;= R[1] | 3</t>
  </si>
  <si>
    <t>08C000C9</t>
  </si>
  <si>
    <t>08 C0 00C9</t>
  </si>
  <si>
    <t>00 00 0003</t>
  </si>
  <si>
    <t>00 00 000C</t>
  </si>
  <si>
    <t>00 1001 | 00 0011 = 00 1100</t>
  </si>
  <si>
    <t>B LDU R1,R0,2</t>
  </si>
  <si>
    <t>R[1] &lt;= 2</t>
  </si>
  <si>
    <t>004000A3</t>
  </si>
  <si>
    <t>00 40 00A3</t>
  </si>
  <si>
    <t>00 00 0002</t>
  </si>
  <si>
    <t>B XOR R3,R1,12</t>
  </si>
  <si>
    <t>R[3] &lt;= XOR(R[1],12)</t>
  </si>
  <si>
    <t>08C0030B</t>
  </si>
  <si>
    <t>08 C0 030b</t>
  </si>
  <si>
    <t>00 00 000E</t>
  </si>
  <si>
    <t>E</t>
  </si>
  <si>
    <t>MEM_Data_Out</t>
  </si>
  <si>
    <t>FF F5 FFFF</t>
  </si>
  <si>
    <t>dF 61 bFCF</t>
  </si>
  <si>
    <t>R[3] &lt;= R[1] - -3</t>
  </si>
  <si>
    <t>dd 25 9FCF</t>
  </si>
  <si>
    <t>Dd 61 9FCF</t>
  </si>
  <si>
    <t>Dd 21 9FCF</t>
  </si>
  <si>
    <t>Dd 61 dFCF</t>
  </si>
  <si>
    <t>DF 61 9FCF</t>
  </si>
  <si>
    <t>Validate Kyle's Compiler</t>
  </si>
  <si>
    <t>Rsrc1</t>
  </si>
  <si>
    <t>Rdst</t>
  </si>
  <si>
    <t>Immediate</t>
  </si>
  <si>
    <t>00000_00001_0000000000001001_100011</t>
  </si>
  <si>
    <t>00001_00011_0000000000101101_001000</t>
  </si>
  <si>
    <t>Jump.mif</t>
  </si>
  <si>
    <t>Compiler</t>
  </si>
  <si>
    <t>B LDU R1,R0,32</t>
  </si>
  <si>
    <t>R[1] &lt;= 32</t>
  </si>
  <si>
    <t>00400823</t>
  </si>
  <si>
    <t>00 40 0823</t>
  </si>
  <si>
    <t>20</t>
  </si>
  <si>
    <t>00 00 0020</t>
  </si>
  <si>
    <t>F00210C0</t>
  </si>
  <si>
    <t>A JMP R1,R1,R0</t>
  </si>
  <si>
    <t>PC &lt;= R[1]</t>
  </si>
  <si>
    <t>08021000</t>
  </si>
  <si>
    <t>08 02 1000</t>
  </si>
  <si>
    <t>00 00 0840</t>
  </si>
  <si>
    <t>A JSR R30,R1,R0</t>
  </si>
  <si>
    <t>083C1040</t>
  </si>
  <si>
    <t>B ADD R3,R1,1</t>
  </si>
  <si>
    <t>R[3] &lt;= R[1] + 1</t>
  </si>
  <si>
    <t>08C00041</t>
  </si>
  <si>
    <t>08 3C 1040</t>
  </si>
  <si>
    <t>FF FF F041</t>
  </si>
  <si>
    <t>A RTS R1,R30,R0</t>
  </si>
  <si>
    <t>08 C0 0041</t>
  </si>
  <si>
    <t>Test Set Format</t>
  </si>
  <si>
    <t>BIN Src1</t>
  </si>
  <si>
    <t>BIN Src2</t>
  </si>
  <si>
    <t>BIN Rdst</t>
  </si>
  <si>
    <t>Fourney BIN OP Code</t>
  </si>
  <si>
    <t>BIN OP Code</t>
  </si>
  <si>
    <t>BIN Immediate</t>
  </si>
  <si>
    <t>BIN Instruction</t>
  </si>
  <si>
    <t>RY &lt;= 0</t>
  </si>
  <si>
    <t>0000_0000000_111111</t>
  </si>
  <si>
    <t>LD#</t>
  </si>
  <si>
    <t>R[0] &lt;= 0</t>
  </si>
  <si>
    <t>ROM_Out</t>
  </si>
  <si>
    <t>IR_Out</t>
  </si>
  <si>
    <t>Immediate_Out</t>
  </si>
  <si>
    <t>RA</t>
  </si>
  <si>
    <t>Expected RA_Out</t>
  </si>
  <si>
    <t>RB</t>
  </si>
  <si>
    <t>Expected RB_Out</t>
  </si>
  <si>
    <t>RZ_Out</t>
  </si>
  <si>
    <t>Expected RZ_Out</t>
  </si>
  <si>
    <t>RY_Out</t>
  </si>
  <si>
    <t>Expected RY_Out</t>
  </si>
  <si>
    <t>LDU#</t>
  </si>
  <si>
    <t>R[1] &lt;= 32768</t>
  </si>
  <si>
    <t>HEX Instruction</t>
  </si>
  <si>
    <t>BIN Instructions</t>
  </si>
  <si>
    <t>R[2] &lt;= -256</t>
  </si>
  <si>
    <t>0000003F</t>
  </si>
  <si>
    <t>0000 0000 0000 0000 0000 0000 0011 1111</t>
  </si>
  <si>
    <t>R[2] &lt;=  - R[2]</t>
  </si>
  <si>
    <t>0000 0000 0000 0000 0000 0000 0010 0010</t>
  </si>
  <si>
    <t>R[3] &lt;= R[1] + R[2]</t>
  </si>
  <si>
    <t>0000 0000 0110 0000 0000 0000 0010 0011</t>
  </si>
  <si>
    <t>00 00 8000</t>
  </si>
  <si>
    <t>R[4] &lt;= R[3] - R[2]</t>
  </si>
  <si>
    <t>00BFC022</t>
  </si>
  <si>
    <t>0000 0000 1011 1111 1100 0000 0010 0010</t>
  </si>
  <si>
    <t>FF FF FF00</t>
  </si>
  <si>
    <t>R[5] &lt;= R[1] &amp; R[2]</t>
  </si>
  <si>
    <t>0001 0000 0000 0100 0000 0010 1000 0000</t>
  </si>
  <si>
    <t>00 00 100A</t>
  </si>
  <si>
    <t>R[6] &lt;= R[1] | R[2]</t>
  </si>
  <si>
    <t>0000 1000 1000 0110 0000 0000 0100 0000</t>
  </si>
  <si>
    <t>00 00 1801</t>
  </si>
  <si>
    <t>00 00 0100</t>
  </si>
  <si>
    <t>R[7] &lt;= R[1] ^ R[2]</t>
  </si>
  <si>
    <t>0001 1000 1000 1000 0000 0001 0000 0000</t>
  </si>
  <si>
    <t>00 00 2004</t>
  </si>
  <si>
    <t>00 00 7F00</t>
  </si>
  <si>
    <t>00 00 8100</t>
  </si>
  <si>
    <t>R[8] &lt;= ~R[2]</t>
  </si>
  <si>
    <t>088A0200</t>
  </si>
  <si>
    <t>0000 1000 1000 1010 0000 0010 0000 0000</t>
  </si>
  <si>
    <t>00 00 2808</t>
  </si>
  <si>
    <t>R[9] &lt;= R[2] &gt;&gt; 1 ; CARRY_FLAG &lt;= R[2]{0}</t>
  </si>
  <si>
    <t>088C0240</t>
  </si>
  <si>
    <t>0000 1000 1000 1100 0000 0010 0100 0000</t>
  </si>
  <si>
    <t>00 00 3009</t>
  </si>
  <si>
    <t>R[10] &lt;= R[3] &gt;&gt;&gt; 1</t>
  </si>
  <si>
    <t>088E02C0</t>
  </si>
  <si>
    <t>0000 1000 1000 1110 0000 0010 1100 0000</t>
  </si>
  <si>
    <t>00 00 3806</t>
  </si>
  <si>
    <t>LSL_ASL</t>
  </si>
  <si>
    <t>R[11] &lt;= R[4] &lt;&lt; 1 ; CARRY_FLAG &lt;= R[4]{31}</t>
  </si>
  <si>
    <t>0001 0000 0001 0000 0000 0011 0000 0000</t>
  </si>
  <si>
    <t>00 00 400C</t>
  </si>
  <si>
    <t>FF FF 7F00</t>
  </si>
  <si>
    <t>R[12] &lt;= {CARRY_FLAG,R[5]{31:1}} ; CARRY_FLAG &lt;= R[5]{0}</t>
  </si>
  <si>
    <t>0001 0000 0001 0010 0000 0100 0000 0000</t>
  </si>
  <si>
    <t>00 00 4810</t>
  </si>
  <si>
    <t>00 00 00FF</t>
  </si>
  <si>
    <t>FF FF FFFF</t>
  </si>
  <si>
    <t>R[13] &lt;= {R[6]{31:1},CARRY_FLAG} ; CARRY_FLAG &lt;= R[6]{31}</t>
  </si>
  <si>
    <t>0001 1000 0001 0100 0000 0100 0100 0000</t>
  </si>
  <si>
    <t>D</t>
  </si>
  <si>
    <t>00 00 5011</t>
  </si>
  <si>
    <t>7F FF FF80</t>
  </si>
  <si>
    <t>00 00 0080</t>
  </si>
  <si>
    <t>201604C0</t>
  </si>
  <si>
    <t>0010 0000 0001 0110 0000 0100 1100 0000</t>
  </si>
  <si>
    <t>00 00 5813</t>
  </si>
  <si>
    <t>00 00 4080</t>
  </si>
  <si>
    <t>HEX Src1</t>
  </si>
  <si>
    <t>HEX Src2</t>
  </si>
  <si>
    <t>HEX Rdst</t>
  </si>
  <si>
    <t>HEX OP Code</t>
  </si>
  <si>
    <t>0010 1000 0001 1000 0000 0110 0100 0000</t>
  </si>
  <si>
    <t>F</t>
  </si>
  <si>
    <t>00 00 6019</t>
  </si>
  <si>
    <t>00 01 0000</t>
  </si>
  <si>
    <t>3F</t>
  </si>
  <si>
    <t>301A0680</t>
  </si>
  <si>
    <t>0011 0000 0001 1010 0000 0110 1000 0000</t>
  </si>
  <si>
    <t>00 00 681A</t>
  </si>
  <si>
    <t>00 01 0200</t>
  </si>
  <si>
    <t>FF00</t>
  </si>
  <si>
    <t>2C0</t>
  </si>
  <si>
    <t>4C0</t>
  </si>
  <si>
    <t>0000_0000_0000_0000</t>
  </si>
  <si>
    <t>1000_0000_0000_0000</t>
  </si>
  <si>
    <t>1111_1111_0000_0000</t>
  </si>
  <si>
    <t>0000_0001_0000_0000</t>
  </si>
  <si>
    <t>0000_0000_0000_0000_0000_0001_0000_0000</t>
  </si>
  <si>
    <t>0000_0000_0000_0000_0000_0000_1000_0000</t>
  </si>
  <si>
    <t>0000_0000_0000_0000_1000_0001_0000_0000</t>
  </si>
  <si>
    <t>0000_0000_0000_0000_0100_0000_1000_0000</t>
  </si>
  <si>
    <t>0000_0000_0000_0000_1000_0000_0000_0000</t>
  </si>
  <si>
    <t>0000_0000_0000_0001_0000_0000_0000_0000</t>
  </si>
  <si>
    <t>ROLwC=0</t>
  </si>
  <si>
    <t>0000_0000_0000_0001_0000_0010_0000_0000</t>
  </si>
  <si>
    <t>ROLwC=1</t>
  </si>
  <si>
    <t>0000_0000_0000_0001_0000_0010_0000_0001</t>
  </si>
  <si>
    <t>0000_0000_0000_0000_000_0000_0000_0000</t>
  </si>
  <si>
    <t>RORwC=1</t>
  </si>
  <si>
    <t>1000_0000_0000_0000_000_0000_0000_0000</t>
  </si>
</sst>
</file>

<file path=xl/styles.xml><?xml version="1.0" encoding="utf-8"?>
<styleSheet xmlns="http://schemas.openxmlformats.org/spreadsheetml/2006/main">
  <numFmts count="10">
    <numFmt formatCode="GENERAL" numFmtId="164"/>
    <numFmt formatCode="@" numFmtId="165"/>
    <numFmt formatCode="0.00" numFmtId="166"/>
    <numFmt formatCode="0" numFmtId="167"/>
    <numFmt formatCode="00000000000000000000000000000000" numFmtId="168"/>
    <numFmt formatCode="00000000" numFmtId="169"/>
    <numFmt formatCode="00000" numFmtId="170"/>
    <numFmt formatCode="0000000000000000" numFmtId="171"/>
    <numFmt formatCode="000000" numFmtId="172"/>
    <numFmt formatCode="0.00E+000" numFmtId="173"/>
  </numFmts>
  <fonts count="12">
    <font>
      <name val="Calibri"/>
      <charset val="1"/>
      <family val="2"/>
      <color rgb="FF000000"/>
      <sz val="12"/>
    </font>
    <font>
      <name val="Arial"/>
      <family val="0"/>
      <sz val="10"/>
    </font>
    <font>
      <name val="Arial"/>
      <family val="0"/>
      <sz val="10"/>
    </font>
    <font>
      <name val="Arial"/>
      <family val="0"/>
      <sz val="10"/>
    </font>
    <font>
      <name val="Calibri"/>
      <charset val="1"/>
      <family val="2"/>
      <sz val="12"/>
    </font>
    <font>
      <name val="CMTT12"/>
      <charset val="1"/>
      <family val="0"/>
      <sz val="12"/>
    </font>
    <font>
      <name val="Calibri"/>
      <charset val="1"/>
      <family val="2"/>
      <b val="true"/>
      <sz val="14"/>
    </font>
    <font>
      <name val="Calibri"/>
      <charset val="1"/>
      <family val="2"/>
      <b val="true"/>
      <sz val="12"/>
    </font>
    <font>
      <name val="Calibri"/>
      <charset val="1"/>
      <family val="2"/>
      <b val="true"/>
      <color rgb="FF000000"/>
      <sz val="12"/>
    </font>
    <font>
      <name val="Calibri"/>
      <charset val="1"/>
      <family val="2"/>
      <color rgb="FF222222"/>
      <sz val="12"/>
    </font>
    <font>
      <name val="Calibri"/>
      <charset val="1"/>
      <family val="2"/>
      <b val="true"/>
      <color rgb="FF000000"/>
      <sz val="14"/>
    </font>
    <font>
      <name val="Calibri"/>
      <charset val="1"/>
      <family val="2"/>
      <b val="true"/>
      <color rgb="FF222222"/>
      <sz val="12"/>
    </font>
  </fonts>
  <fills count="16">
    <fill>
      <patternFill patternType="none"/>
    </fill>
    <fill>
      <patternFill patternType="gray125"/>
    </fill>
    <fill>
      <patternFill patternType="solid">
        <fgColor rgb="FFC4BD97"/>
        <bgColor rgb="FF95B3D7"/>
      </patternFill>
    </fill>
    <fill>
      <patternFill patternType="solid">
        <fgColor rgb="FFFFFF00"/>
        <bgColor rgb="FFFFFF00"/>
      </patternFill>
    </fill>
    <fill>
      <patternFill patternType="solid">
        <fgColor rgb="FFCFE7F5"/>
        <bgColor rgb="FFC6D9F1"/>
      </patternFill>
    </fill>
    <fill>
      <patternFill patternType="solid">
        <fgColor rgb="FFFFC000"/>
        <bgColor rgb="FFFF9900"/>
      </patternFill>
    </fill>
    <fill>
      <patternFill patternType="solid">
        <fgColor rgb="FFC6D9F1"/>
        <bgColor rgb="FFCFE7F5"/>
      </patternFill>
    </fill>
    <fill>
      <patternFill patternType="solid">
        <fgColor rgb="FF95B3D7"/>
        <bgColor rgb="FF729FCF"/>
      </patternFill>
    </fill>
    <fill>
      <patternFill patternType="solid">
        <fgColor rgb="FFFF0000"/>
        <bgColor rgb="FFDC2300"/>
      </patternFill>
    </fill>
    <fill>
      <patternFill patternType="solid">
        <fgColor rgb="FF558ED5"/>
        <bgColor rgb="FF729FCF"/>
      </patternFill>
    </fill>
    <fill>
      <patternFill patternType="solid">
        <fgColor rgb="FF729FCF"/>
        <bgColor rgb="FF558ED5"/>
      </patternFill>
    </fill>
    <fill>
      <patternFill patternType="solid">
        <fgColor rgb="FF33CC66"/>
        <bgColor rgb="FF339966"/>
      </patternFill>
    </fill>
    <fill>
      <patternFill patternType="solid">
        <fgColor rgb="FF00AE00"/>
        <bgColor rgb="FF339966"/>
      </patternFill>
    </fill>
    <fill>
      <patternFill patternType="solid">
        <fgColor rgb="FFFF3333"/>
        <bgColor rgb="FFFF420E"/>
      </patternFill>
    </fill>
    <fill>
      <patternFill patternType="solid">
        <fgColor rgb="FFFF420E"/>
        <bgColor rgb="FFFF3333"/>
      </patternFill>
    </fill>
    <fill>
      <patternFill patternType="solid">
        <fgColor rgb="FFDC2300"/>
        <bgColor rgb="FFFF3333"/>
      </patternFill>
    </fill>
  </fills>
  <borders count="18">
    <border diagonalDown="false" diagonalUp="false">
      <left/>
      <right/>
      <top/>
      <bottom/>
      <diagonal/>
    </border>
    <border diagonalDown="false" diagonalUp="false">
      <left style="thick"/>
      <right style="thick"/>
      <top style="thick"/>
      <bottom/>
      <diagonal/>
    </border>
    <border diagonalDown="false" diagonalUp="false">
      <left style="thick"/>
      <right style="thick"/>
      <top style="thick"/>
      <bottom style="thick"/>
      <diagonal/>
    </border>
    <border diagonalDown="false" diagonalUp="false">
      <left style="thick"/>
      <right/>
      <top style="thick"/>
      <bottom/>
      <diagonal/>
    </border>
    <border diagonalDown="false" diagonalUp="false">
      <left/>
      <right style="thick"/>
      <top style="thick"/>
      <bottom/>
      <diagonal/>
    </border>
    <border diagonalDown="false" diagonalUp="false">
      <left style="thick"/>
      <right/>
      <top style="thick"/>
      <bottom style="thick"/>
      <diagonal/>
    </border>
    <border diagonalDown="false" diagonalUp="false">
      <left/>
      <right style="thick"/>
      <top style="thick"/>
      <bottom style="thick"/>
      <diagonal/>
    </border>
    <border diagonalDown="false" diagonalUp="false">
      <left/>
      <right/>
      <top style="thick"/>
      <bottom/>
      <diagonal/>
    </border>
    <border diagonalDown="false" diagonalUp="false">
      <left/>
      <right style="thick"/>
      <top/>
      <bottom/>
      <diagonal/>
    </border>
    <border diagonalDown="false" diagonalUp="false">
      <left style="thick"/>
      <right style="thick"/>
      <top/>
      <bottom style="thick"/>
      <diagonal/>
    </border>
    <border diagonalDown="false" diagonalUp="false">
      <left style="thick"/>
      <right/>
      <top/>
      <bottom style="thick"/>
      <diagonal/>
    </border>
    <border diagonalDown="false" diagonalUp="false">
      <left/>
      <right/>
      <top/>
      <bottom style="thick"/>
      <diagonal/>
    </border>
    <border diagonalDown="false" diagonalUp="false">
      <left/>
      <right/>
      <top style="thick"/>
      <bottom style="thick"/>
      <diagonal/>
    </border>
    <border diagonalDown="false" diagonalUp="false">
      <left/>
      <right style="thick"/>
      <top/>
      <bottom style="thick"/>
      <diagonal/>
    </border>
    <border diagonalDown="false" diagonalUp="false">
      <left style="thick"/>
      <right/>
      <top/>
      <bottom/>
      <diagonal/>
    </border>
    <border diagonalDown="false" diagonalUp="false">
      <left style="thick"/>
      <right style="thick"/>
      <top/>
      <bottom/>
      <diagonal/>
    </border>
    <border diagonalDown="false" diagonalUp="false">
      <left style="thin"/>
      <right style="thin"/>
      <top style="thin"/>
      <bottom style="thin"/>
      <diagonal/>
    </border>
    <border diagonalDown="false" diagonalUp="false">
      <left style="hair"/>
      <right style="hair"/>
      <top style="hair"/>
      <bottom style="hair"/>
      <diagonal/>
    </border>
  </borders>
  <cellStyleXfs count="20">
    <xf applyAlignment="true" applyBorder="true" applyFont="true" applyProtection="true" borderId="0" fillId="0" fontId="0" numFmtId="164">
      <alignment horizontal="general" indent="0" shrinkToFit="false" textRotation="0" vertical="bottom" wrapText="false"/>
      <protection hidden="false" locked="true"/>
    </xf>
    <xf applyAlignment="false" applyBorder="false" applyFont="true" applyProtection="false" borderId="0" fillId="0" fontId="1" numFmtId="0"/>
    <xf applyAlignment="false" applyBorder="false" applyFont="true" applyProtection="false" borderId="0" fillId="0" fontId="1" numFmtId="0"/>
    <xf applyAlignment="false" applyBorder="false" applyFont="true" applyProtection="false" borderId="0" fillId="0" fontId="2" numFmtId="0"/>
    <xf applyAlignment="false" applyBorder="false" applyFont="true" applyProtection="false" borderId="0" fillId="0" fontId="2"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1" numFmtId="43"/>
    <xf applyAlignment="false" applyBorder="false" applyFont="true" applyProtection="false" borderId="0" fillId="0" fontId="1" numFmtId="41"/>
    <xf applyAlignment="false" applyBorder="false" applyFont="true" applyProtection="false" borderId="0" fillId="0" fontId="1" numFmtId="44"/>
    <xf applyAlignment="false" applyBorder="false" applyFont="true" applyProtection="false" borderId="0" fillId="0" fontId="1" numFmtId="42"/>
    <xf applyAlignment="false" applyBorder="false" applyFont="true" applyProtection="false" borderId="0" fillId="0" fontId="1" numFmtId="9"/>
  </cellStyleXfs>
  <cellXfs count="178">
    <xf applyAlignment="false" applyBorder="false" applyFont="false" applyProtection="false" borderId="0" fillId="0" fontId="0" numFmtId="164" xfId="0">
      <alignment horizontal="general" indent="0" shrinkToFit="false" textRotation="0" vertical="bottom" wrapText="false"/>
      <protection hidden="false" locked="true"/>
    </xf>
    <xf applyAlignment="false" applyBorder="false" applyFont="true" applyProtection="false" borderId="0" fillId="0" fontId="4" numFmtId="164" xfId="0">
      <alignment horizontal="general" indent="0" shrinkToFit="false" textRotation="0" vertical="bottom" wrapText="false"/>
      <protection hidden="false" locked="true"/>
    </xf>
    <xf applyAlignment="false" applyBorder="false" applyFont="true" applyProtection="false" borderId="0" fillId="0" fontId="5" numFmtId="165" xfId="0">
      <alignment horizontal="general" indent="0" shrinkToFit="false" textRotation="0" vertical="bottom" wrapText="false"/>
      <protection hidden="false" locked="true"/>
    </xf>
    <xf applyAlignment="false" applyBorder="false" applyFont="true" applyProtection="false" borderId="0" fillId="0" fontId="5" numFmtId="164" xfId="0">
      <alignment horizontal="general" indent="0" shrinkToFit="false" textRotation="0" vertical="bottom" wrapText="false"/>
      <protection hidden="false" locked="true"/>
    </xf>
    <xf applyAlignment="true" applyBorder="false" applyFont="true" applyProtection="false" borderId="0" fillId="0" fontId="6" numFmtId="165" xfId="0">
      <alignment horizontal="center" indent="0" shrinkToFit="false" textRotation="0" vertical="bottom" wrapText="false"/>
      <protection hidden="false" locked="true"/>
    </xf>
    <xf applyAlignment="true" applyBorder="false" applyFont="true" applyProtection="false" borderId="0" fillId="0" fontId="4" numFmtId="164" xfId="0">
      <alignment horizontal="center" indent="0" shrinkToFit="false" textRotation="0" vertical="bottom" wrapText="false"/>
      <protection hidden="false" locked="true"/>
    </xf>
    <xf applyAlignment="true" applyBorder="false" applyFont="true" applyProtection="false" borderId="0" fillId="0" fontId="4" numFmtId="165" xfId="0">
      <alignment horizontal="center" indent="0" shrinkToFit="false" textRotation="0" vertical="center" wrapText="false"/>
      <protection hidden="false" locked="true"/>
    </xf>
    <xf applyAlignment="true" applyBorder="false" applyFont="true" applyProtection="false" borderId="0" fillId="0" fontId="4" numFmtId="164" xfId="0">
      <alignment horizontal="center" indent="0" shrinkToFit="false" textRotation="0" vertical="center" wrapText="false"/>
      <protection hidden="false" locked="true"/>
    </xf>
    <xf applyAlignment="true" applyBorder="false" applyFont="true" applyProtection="false" borderId="0" fillId="0" fontId="4" numFmtId="166" xfId="0">
      <alignment horizontal="center" indent="0" shrinkToFit="false" textRotation="0" vertical="center" wrapText="false"/>
      <protection hidden="false" locked="true"/>
    </xf>
    <xf applyAlignment="true" applyBorder="false" applyFont="true" applyProtection="false" borderId="0" fillId="0" fontId="7" numFmtId="165" xfId="0">
      <alignment horizontal="center" indent="0" shrinkToFit="false" textRotation="0" vertical="center" wrapText="false"/>
      <protection hidden="false" locked="true"/>
    </xf>
    <xf applyAlignment="true" applyBorder="false" applyFont="true" applyProtection="false" borderId="0" fillId="0" fontId="7" numFmtId="166" xfId="0">
      <alignment horizontal="center" indent="0" shrinkToFit="false" textRotation="0" vertical="center" wrapText="false"/>
      <protection hidden="false" locked="true"/>
    </xf>
    <xf applyAlignment="true" applyBorder="false" applyFont="true" applyProtection="false" borderId="0" fillId="0" fontId="4" numFmtId="164" xfId="0">
      <alignment horizontal="general" indent="0" shrinkToFit="false" textRotation="0" vertical="center" wrapText="false"/>
      <protection hidden="false" locked="true"/>
    </xf>
    <xf applyAlignment="true" applyBorder="false" applyFont="true" applyProtection="false" borderId="0" fillId="0" fontId="4" numFmtId="165" xfId="0">
      <alignment horizontal="general" indent="0" shrinkToFit="false" textRotation="0" vertical="center" wrapText="false"/>
      <protection hidden="false" locked="true"/>
    </xf>
    <xf applyAlignment="true" applyBorder="false" applyFont="true" applyProtection="false" borderId="0" fillId="0" fontId="4" numFmtId="166" xfId="0">
      <alignment horizontal="general" indent="0" shrinkToFit="false" textRotation="0" vertical="center" wrapText="false"/>
      <protection hidden="false" locked="true"/>
    </xf>
    <xf applyAlignment="true" applyBorder="false" applyFont="true" applyProtection="false" borderId="0" fillId="0" fontId="7" numFmtId="165" xfId="0">
      <alignment horizontal="center" indent="0" shrinkToFit="false" textRotation="0" vertical="bottom" wrapText="false"/>
      <protection hidden="false" locked="true"/>
    </xf>
    <xf applyAlignment="false" applyBorder="false" applyFont="true" applyProtection="false" borderId="0" fillId="0" fontId="4" numFmtId="165" xfId="0">
      <alignment horizontal="general" indent="0" shrinkToFit="false" textRotation="0" vertical="bottom" wrapText="false"/>
      <protection hidden="false" locked="true"/>
    </xf>
    <xf applyAlignment="true" applyBorder="false" applyFont="true" applyProtection="false" borderId="0" fillId="0" fontId="0" numFmtId="164" xfId="0">
      <alignment horizontal="center" indent="0" shrinkToFit="false" textRotation="0" vertical="center" wrapText="true"/>
      <protection hidden="false" locked="true"/>
    </xf>
    <xf applyAlignment="true" applyBorder="false" applyFont="true" applyProtection="false" borderId="0" fillId="0" fontId="0" numFmtId="167" xfId="0">
      <alignment horizontal="center" indent="0" shrinkToFit="false" textRotation="0" vertical="center" wrapText="true"/>
      <protection hidden="false" locked="true"/>
    </xf>
    <xf applyAlignment="true" applyBorder="false" applyFont="true" applyProtection="false" borderId="0" fillId="0" fontId="0" numFmtId="168" xfId="0">
      <alignment horizontal="center" indent="0" shrinkToFit="false" textRotation="0" vertical="center" wrapText="true"/>
      <protection hidden="false" locked="true"/>
    </xf>
    <xf applyAlignment="true" applyBorder="false" applyFont="true" applyProtection="false" borderId="0" fillId="0" fontId="0" numFmtId="164" xfId="0">
      <alignment horizontal="center" indent="0" shrinkToFit="false" textRotation="0" vertical="center" wrapText="false"/>
      <protection hidden="false" locked="true"/>
    </xf>
    <xf applyAlignment="true" applyBorder="false" applyFont="false" applyProtection="false" borderId="0" fillId="0" fontId="0" numFmtId="164" xfId="0">
      <alignment horizontal="general" indent="0" shrinkToFit="false" textRotation="0" vertical="bottom" wrapText="true"/>
      <protection hidden="false" locked="true"/>
    </xf>
    <xf applyAlignment="true" applyBorder="true" applyFont="true" applyProtection="false" borderId="1" fillId="2" fontId="0" numFmtId="164" xfId="0">
      <alignment horizontal="center" indent="0" shrinkToFit="false" textRotation="0" vertical="center" wrapText="true"/>
      <protection hidden="false" locked="true"/>
    </xf>
    <xf applyAlignment="true" applyBorder="true" applyFont="true" applyProtection="false" borderId="1" fillId="3" fontId="0" numFmtId="164" xfId="0">
      <alignment horizontal="center" indent="0" shrinkToFit="false" textRotation="0" vertical="center" wrapText="true"/>
      <protection hidden="false" locked="true"/>
    </xf>
    <xf applyAlignment="true" applyBorder="true" applyFont="true" applyProtection="false" borderId="1" fillId="4" fontId="0" numFmtId="164" xfId="0">
      <alignment horizontal="center" indent="0" shrinkToFit="false" textRotation="0" vertical="center" wrapText="true"/>
      <protection hidden="false" locked="true"/>
    </xf>
    <xf applyAlignment="true" applyBorder="true" applyFont="true" applyProtection="false" borderId="2" fillId="0" fontId="0" numFmtId="164" xfId="0">
      <alignment horizontal="center" indent="0" shrinkToFit="false" textRotation="0" vertical="center" wrapText="true"/>
      <protection hidden="false" locked="true"/>
    </xf>
    <xf applyAlignment="true" applyBorder="true" applyFont="true" applyProtection="false" borderId="3" fillId="0" fontId="0" numFmtId="164" xfId="0">
      <alignment horizontal="center" indent="0" shrinkToFit="false" textRotation="0" vertical="center" wrapText="true"/>
      <protection hidden="false" locked="true"/>
    </xf>
    <xf applyAlignment="true" applyBorder="true" applyFont="true" applyProtection="false" borderId="1" fillId="0" fontId="0" numFmtId="164" xfId="0">
      <alignment horizontal="center" indent="0" shrinkToFit="false" textRotation="0" vertical="center" wrapText="true"/>
      <protection hidden="false" locked="true"/>
    </xf>
    <xf applyAlignment="true" applyBorder="true" applyFont="true" applyProtection="false" borderId="4" fillId="0" fontId="0" numFmtId="164" xfId="0">
      <alignment horizontal="center" indent="0" shrinkToFit="false" textRotation="0" vertical="center" wrapText="true"/>
      <protection hidden="false" locked="true"/>
    </xf>
    <xf applyAlignment="true" applyBorder="true" applyFont="true" applyProtection="false" borderId="0" fillId="0" fontId="0" numFmtId="164" xfId="0">
      <alignment horizontal="center" indent="0" shrinkToFit="false" textRotation="0" vertical="center" wrapText="true"/>
      <protection hidden="false" locked="true"/>
    </xf>
    <xf applyAlignment="true" applyBorder="true" applyFont="true" applyProtection="false" borderId="2" fillId="0" fontId="0" numFmtId="165" xfId="0">
      <alignment horizontal="center" indent="0" shrinkToFit="false" textRotation="0" vertical="center" wrapText="true"/>
      <protection hidden="false" locked="true"/>
    </xf>
    <xf applyAlignment="true" applyBorder="true" applyFont="true" applyProtection="false" borderId="2" fillId="3" fontId="0" numFmtId="164" xfId="0">
      <alignment horizontal="center" indent="0" shrinkToFit="false" textRotation="0" vertical="center" wrapText="true"/>
      <protection hidden="false" locked="true"/>
    </xf>
    <xf applyAlignment="true" applyBorder="true" applyFont="true" applyProtection="false" borderId="2" fillId="0" fontId="0" numFmtId="167" xfId="0">
      <alignment horizontal="center" indent="0" shrinkToFit="false" textRotation="0" vertical="center" wrapText="true"/>
      <protection hidden="false" locked="true"/>
    </xf>
    <xf applyAlignment="true" applyBorder="true" applyFont="true" applyProtection="false" borderId="2" fillId="0" fontId="4" numFmtId="167" xfId="0">
      <alignment horizontal="center" indent="0" shrinkToFit="false" textRotation="0" vertical="center" wrapText="true"/>
      <protection hidden="false" locked="true"/>
    </xf>
    <xf applyAlignment="true" applyBorder="true" applyFont="true" applyProtection="false" borderId="5" fillId="0" fontId="0" numFmtId="164" xfId="0">
      <alignment horizontal="center" indent="0" shrinkToFit="false" textRotation="0" vertical="center" wrapText="true"/>
      <protection hidden="false" locked="true"/>
    </xf>
    <xf applyAlignment="true" applyBorder="true" applyFont="true" applyProtection="false" borderId="6" fillId="0" fontId="0" numFmtId="164" xfId="0">
      <alignment horizontal="center" indent="0" shrinkToFit="false" textRotation="0" vertical="center" wrapText="true"/>
      <protection hidden="false" locked="true"/>
    </xf>
    <xf applyAlignment="true" applyBorder="true" applyFont="true" applyProtection="false" borderId="7" fillId="0" fontId="0" numFmtId="164" xfId="0">
      <alignment horizontal="center" indent="0" shrinkToFit="false" textRotation="0" vertical="center" wrapText="true"/>
      <protection hidden="false" locked="true"/>
    </xf>
    <xf applyAlignment="true" applyBorder="true" applyFont="true" applyProtection="false" borderId="8" fillId="0" fontId="0" numFmtId="164" xfId="0">
      <alignment horizontal="center" indent="0" shrinkToFit="false" textRotation="0" vertical="center" wrapText="true"/>
      <protection hidden="false" locked="true"/>
    </xf>
    <xf applyAlignment="true" applyBorder="true" applyFont="true" applyProtection="false" borderId="9" fillId="0" fontId="0" numFmtId="165" xfId="0">
      <alignment horizontal="center" indent="0" shrinkToFit="false" textRotation="0" vertical="center" wrapText="true"/>
      <protection hidden="false" locked="true"/>
    </xf>
    <xf applyAlignment="true" applyBorder="true" applyFont="true" applyProtection="false" borderId="9" fillId="5" fontId="0" numFmtId="164" xfId="0">
      <alignment horizontal="center" indent="0" shrinkToFit="false" textRotation="0" vertical="center" wrapText="true"/>
      <protection hidden="false" locked="true"/>
    </xf>
    <xf applyAlignment="true" applyBorder="true" applyFont="true" applyProtection="false" borderId="9" fillId="3" fontId="0" numFmtId="164" xfId="0">
      <alignment horizontal="center" indent="0" shrinkToFit="false" textRotation="0" vertical="center" wrapText="true"/>
      <protection hidden="false" locked="true"/>
    </xf>
    <xf applyAlignment="true" applyBorder="true" applyFont="true" applyProtection="false" borderId="9" fillId="0" fontId="0" numFmtId="167" xfId="0">
      <alignment horizontal="center" indent="0" shrinkToFit="false" textRotation="0" vertical="center" wrapText="true"/>
      <protection hidden="false" locked="true"/>
    </xf>
    <xf applyAlignment="true" applyBorder="true" applyFont="true" applyProtection="false" borderId="9" fillId="0" fontId="4" numFmtId="167" xfId="0">
      <alignment horizontal="center" indent="0" shrinkToFit="false" textRotation="0" vertical="center" wrapText="true"/>
      <protection hidden="false" locked="true"/>
    </xf>
    <xf applyAlignment="true" applyBorder="true" applyFont="true" applyProtection="false" borderId="10" fillId="6" fontId="4" numFmtId="169" xfId="0">
      <alignment horizontal="center" indent="0" shrinkToFit="false" textRotation="0" vertical="center" wrapText="true"/>
      <protection hidden="false" locked="true"/>
    </xf>
    <xf applyAlignment="true" applyBorder="true" applyFont="true" applyProtection="false" borderId="9" fillId="0" fontId="0" numFmtId="164" xfId="0">
      <alignment horizontal="center" indent="0" shrinkToFit="false" textRotation="0" vertical="center" wrapText="true"/>
      <protection hidden="false" locked="true"/>
    </xf>
    <xf applyAlignment="true" applyBorder="true" applyFont="true" applyProtection="false" borderId="11" fillId="0" fontId="0" numFmtId="164" xfId="0">
      <alignment horizontal="center" indent="0" shrinkToFit="false" textRotation="0" vertical="center" wrapText="true"/>
      <protection hidden="false" locked="true"/>
    </xf>
    <xf applyAlignment="true" applyBorder="true" applyFont="true" applyProtection="false" borderId="6" fillId="6" fontId="0" numFmtId="167" xfId="0">
      <alignment horizontal="center" indent="0" shrinkToFit="false" textRotation="0" vertical="center" wrapText="true"/>
      <protection hidden="false" locked="true"/>
    </xf>
    <xf applyAlignment="true" applyBorder="true" applyFont="true" applyProtection="false" borderId="0" fillId="0" fontId="0" numFmtId="164" xfId="0">
      <alignment horizontal="center" indent="0" shrinkToFit="false" textRotation="0" vertical="center" wrapText="false"/>
      <protection hidden="false" locked="true"/>
    </xf>
    <xf applyAlignment="true" applyBorder="true" applyFont="true" applyProtection="false" borderId="5" fillId="7" fontId="4" numFmtId="169" xfId="0">
      <alignment horizontal="center" indent="0" shrinkToFit="false" textRotation="0" vertical="center" wrapText="true"/>
      <protection hidden="false" locked="true"/>
    </xf>
    <xf applyAlignment="true" applyBorder="true" applyFont="true" applyProtection="false" borderId="12" fillId="0" fontId="0" numFmtId="164" xfId="0">
      <alignment horizontal="center" indent="0" shrinkToFit="false" textRotation="0" vertical="center" wrapText="true"/>
      <protection hidden="false" locked="true"/>
    </xf>
    <xf applyAlignment="true" applyBorder="true" applyFont="true" applyProtection="false" borderId="6" fillId="0" fontId="0" numFmtId="167" xfId="0">
      <alignment horizontal="center" indent="0" shrinkToFit="false" textRotation="0" vertical="center" wrapText="true"/>
      <protection hidden="false" locked="true"/>
    </xf>
    <xf applyAlignment="true" applyBorder="true" applyFont="true" applyProtection="false" borderId="2" fillId="7" fontId="0" numFmtId="167" xfId="0">
      <alignment horizontal="center" indent="0" shrinkToFit="false" textRotation="0" vertical="center" wrapText="true"/>
      <protection hidden="false" locked="true"/>
    </xf>
    <xf applyAlignment="true" applyBorder="true" applyFont="true" applyProtection="false" borderId="5" fillId="0" fontId="0" numFmtId="167" xfId="0">
      <alignment horizontal="center" indent="0" shrinkToFit="false" textRotation="0" vertical="center" wrapText="true"/>
      <protection hidden="false" locked="true"/>
    </xf>
    <xf applyAlignment="true" applyBorder="true" applyFont="true" applyProtection="false" borderId="2" fillId="3" fontId="0" numFmtId="167" xfId="0">
      <alignment horizontal="center" indent="0" shrinkToFit="false" textRotation="0" vertical="center" wrapText="true"/>
      <protection hidden="false" locked="true"/>
    </xf>
    <xf applyAlignment="true" applyBorder="true" applyFont="true" applyProtection="false" borderId="2" fillId="5" fontId="0" numFmtId="164" xfId="0">
      <alignment horizontal="center" indent="0" shrinkToFit="false" textRotation="0" vertical="center" wrapText="true"/>
      <protection hidden="false" locked="true"/>
    </xf>
    <xf applyAlignment="true" applyBorder="true" applyFont="true" applyProtection="false" borderId="5" fillId="6" fontId="4" numFmtId="169" xfId="0">
      <alignment horizontal="center" indent="0" shrinkToFit="false" textRotation="0" vertical="center" wrapText="true"/>
      <protection hidden="false" locked="true"/>
    </xf>
    <xf applyAlignment="true" applyBorder="true" applyFont="true" applyProtection="false" borderId="6" fillId="3" fontId="0" numFmtId="167" xfId="0">
      <alignment horizontal="center" indent="0" shrinkToFit="false" textRotation="0" vertical="center" wrapText="true"/>
      <protection hidden="false" locked="true"/>
    </xf>
    <xf applyAlignment="true" applyBorder="true" applyFont="true" applyProtection="false" borderId="7" fillId="3" fontId="0" numFmtId="164" xfId="0">
      <alignment horizontal="center" indent="0" shrinkToFit="false" textRotation="0" vertical="center" wrapText="true"/>
      <protection hidden="false" locked="true"/>
    </xf>
    <xf applyAlignment="true" applyBorder="true" applyFont="true" applyProtection="false" borderId="1" fillId="0" fontId="0" numFmtId="165" xfId="0">
      <alignment horizontal="center" indent="0" shrinkToFit="false" textRotation="0" vertical="center" wrapText="true"/>
      <protection hidden="false" locked="true"/>
    </xf>
    <xf applyAlignment="true" applyBorder="true" applyFont="true" applyProtection="false" borderId="1" fillId="0" fontId="0" numFmtId="167" xfId="0">
      <alignment horizontal="center" indent="0" shrinkToFit="false" textRotation="0" vertical="center" wrapText="true"/>
      <protection hidden="false" locked="true"/>
    </xf>
    <xf applyAlignment="true" applyBorder="true" applyFont="true" applyProtection="false" borderId="2" fillId="8" fontId="0" numFmtId="164" xfId="0">
      <alignment horizontal="center" indent="0" shrinkToFit="false" textRotation="0" vertical="center" wrapText="true"/>
      <protection hidden="false" locked="true"/>
    </xf>
    <xf applyAlignment="true" applyBorder="true" applyFont="true" applyProtection="false" borderId="2" fillId="8" fontId="0" numFmtId="167" xfId="0">
      <alignment horizontal="center" indent="0" shrinkToFit="false" textRotation="0" vertical="center" wrapText="true"/>
      <protection hidden="false" locked="true"/>
    </xf>
    <xf applyAlignment="true" applyBorder="true" applyFont="true" applyProtection="false" borderId="12" fillId="3" fontId="0" numFmtId="164" xfId="0">
      <alignment horizontal="center" indent="0" shrinkToFit="false" textRotation="0" vertical="center" wrapText="true"/>
      <protection hidden="false" locked="true"/>
    </xf>
    <xf applyAlignment="true" applyBorder="true" applyFont="true" applyProtection="false" borderId="13" fillId="0" fontId="0" numFmtId="164" xfId="0">
      <alignment horizontal="center" indent="0" shrinkToFit="false" textRotation="0" vertical="center" wrapText="true"/>
      <protection hidden="false" locked="true"/>
    </xf>
    <xf applyAlignment="true" applyBorder="true" applyFont="true" applyProtection="false" borderId="13" fillId="0" fontId="0" numFmtId="167" xfId="0">
      <alignment horizontal="center" indent="0" shrinkToFit="false" textRotation="0" vertical="center" wrapText="true"/>
      <protection hidden="false" locked="true"/>
    </xf>
    <xf applyAlignment="true" applyBorder="true" applyFont="true" applyProtection="false" borderId="1" fillId="5" fontId="0" numFmtId="164" xfId="0">
      <alignment horizontal="center" indent="0" shrinkToFit="false" textRotation="0" vertical="center" wrapText="true"/>
      <protection hidden="false" locked="true"/>
    </xf>
    <xf applyAlignment="true" applyBorder="true" applyFont="true" applyProtection="false" borderId="3" fillId="0" fontId="0" numFmtId="167" xfId="0">
      <alignment horizontal="center" indent="0" shrinkToFit="false" textRotation="0" vertical="center" wrapText="true"/>
      <protection hidden="false" locked="true"/>
    </xf>
    <xf applyAlignment="true" applyBorder="true" applyFont="true" applyProtection="false" borderId="4" fillId="0" fontId="0" numFmtId="167" xfId="0">
      <alignment horizontal="center" indent="0" shrinkToFit="false" textRotation="0" vertical="center" wrapText="true"/>
      <protection hidden="false" locked="true"/>
    </xf>
    <xf applyAlignment="true" applyBorder="true" applyFont="true" applyProtection="false" borderId="1" fillId="3" fontId="0" numFmtId="167" xfId="0">
      <alignment horizontal="center" indent="0" shrinkToFit="false" textRotation="0" vertical="center" wrapText="true"/>
      <protection hidden="false" locked="true"/>
    </xf>
    <xf applyAlignment="true" applyBorder="true" applyFont="true" applyProtection="false" borderId="1" fillId="0" fontId="4" numFmtId="167" xfId="0">
      <alignment horizontal="center" indent="0" shrinkToFit="false" textRotation="0" vertical="center" wrapText="true"/>
      <protection hidden="false" locked="true"/>
    </xf>
    <xf applyAlignment="true" applyBorder="true" applyFont="true" applyProtection="false" borderId="1" fillId="6" fontId="4" numFmtId="169" xfId="0">
      <alignment horizontal="center" indent="0" shrinkToFit="false" textRotation="0" vertical="center" wrapText="true"/>
      <protection hidden="false" locked="true"/>
    </xf>
    <xf applyAlignment="true" applyBorder="true" applyFont="true" applyProtection="false" borderId="1" fillId="6" fontId="0" numFmtId="167" xfId="0">
      <alignment horizontal="center" indent="0" shrinkToFit="false" textRotation="0" vertical="center" wrapText="true"/>
      <protection hidden="false" locked="true"/>
    </xf>
    <xf applyAlignment="true" applyBorder="true" applyFont="true" applyProtection="false" borderId="2" fillId="3" fontId="8" numFmtId="164" xfId="0">
      <alignment horizontal="center" indent="0" shrinkToFit="false" textRotation="0" vertical="center" wrapText="true"/>
      <protection hidden="false" locked="true"/>
    </xf>
    <xf applyAlignment="true" applyBorder="true" applyFont="true" applyProtection="false" borderId="2" fillId="0" fontId="8" numFmtId="164" xfId="0">
      <alignment horizontal="center" indent="0" shrinkToFit="false" textRotation="0" vertical="center" wrapText="true"/>
      <protection hidden="false" locked="true"/>
    </xf>
    <xf applyAlignment="true" applyBorder="true" applyFont="true" applyProtection="false" borderId="5" fillId="0" fontId="8" numFmtId="164" xfId="0">
      <alignment horizontal="center" indent="0" shrinkToFit="false" textRotation="0" vertical="center" wrapText="true"/>
      <protection hidden="false" locked="true"/>
    </xf>
    <xf applyAlignment="true" applyBorder="true" applyFont="true" applyProtection="false" borderId="2" fillId="0" fontId="8" numFmtId="165" xfId="0">
      <alignment horizontal="center" indent="0" shrinkToFit="false" textRotation="0" vertical="center" wrapText="true"/>
      <protection hidden="false" locked="true"/>
    </xf>
    <xf applyAlignment="true" applyBorder="true" applyFont="true" applyProtection="false" borderId="2" fillId="5" fontId="8" numFmtId="164" xfId="0">
      <alignment horizontal="center" indent="0" shrinkToFit="false" textRotation="0" vertical="center" wrapText="true"/>
      <protection hidden="false" locked="true"/>
    </xf>
    <xf applyAlignment="true" applyBorder="true" applyFont="true" applyProtection="false" borderId="2" fillId="0" fontId="8" numFmtId="167" xfId="0">
      <alignment horizontal="center" indent="0" shrinkToFit="false" textRotation="0" vertical="center" wrapText="true"/>
      <protection hidden="false" locked="true"/>
    </xf>
    <xf applyAlignment="true" applyBorder="true" applyFont="true" applyProtection="false" borderId="2" fillId="3" fontId="8" numFmtId="167" xfId="0">
      <alignment horizontal="center" indent="0" shrinkToFit="false" textRotation="0" vertical="center" wrapText="true"/>
      <protection hidden="false" locked="true"/>
    </xf>
    <xf applyAlignment="true" applyBorder="true" applyFont="true" applyProtection="false" borderId="2" fillId="6" fontId="4" numFmtId="169" xfId="0">
      <alignment horizontal="center" indent="0" shrinkToFit="false" textRotation="0" vertical="center" wrapText="true"/>
      <protection hidden="false" locked="true"/>
    </xf>
    <xf applyAlignment="true" applyBorder="true" applyFont="true" applyProtection="false" borderId="2" fillId="7" fontId="4" numFmtId="169" xfId="0">
      <alignment horizontal="center" indent="0" shrinkToFit="false" textRotation="0" vertical="center" wrapText="true"/>
      <protection hidden="false" locked="true"/>
    </xf>
    <xf applyAlignment="true" applyBorder="true" applyFont="true" applyProtection="false" borderId="2" fillId="6" fontId="0" numFmtId="167" xfId="0">
      <alignment horizontal="center" indent="0" shrinkToFit="false" textRotation="0" vertical="center" wrapText="true"/>
      <protection hidden="false" locked="true"/>
    </xf>
    <xf applyAlignment="true" applyBorder="true" applyFont="true" applyProtection="false" borderId="0" fillId="0" fontId="4" numFmtId="169" xfId="0">
      <alignment horizontal="center" indent="0" shrinkToFit="false" textRotation="0" vertical="center" wrapText="true"/>
      <protection hidden="false" locked="true"/>
    </xf>
    <xf applyAlignment="true" applyBorder="true" applyFont="true" applyProtection="false" borderId="10" fillId="0" fontId="0" numFmtId="164" xfId="0">
      <alignment horizontal="center" indent="0" shrinkToFit="false" textRotation="0" vertical="center" wrapText="true"/>
      <protection hidden="false" locked="true"/>
    </xf>
    <xf applyAlignment="true" applyBorder="true" applyFont="true" applyProtection="false" borderId="2" fillId="0" fontId="4" numFmtId="169" xfId="0">
      <alignment horizontal="center" indent="0" shrinkToFit="false" textRotation="0" vertical="center" wrapText="true"/>
      <protection hidden="false" locked="true"/>
    </xf>
    <xf applyAlignment="true" applyBorder="true" applyFont="true" applyProtection="false" borderId="0" fillId="0" fontId="0" numFmtId="167" xfId="0">
      <alignment horizontal="center" indent="0" shrinkToFit="false" textRotation="0" vertical="center" wrapText="true"/>
      <protection hidden="false" locked="true"/>
    </xf>
    <xf applyAlignment="true" applyBorder="true" applyFont="true" applyProtection="false" borderId="9" fillId="0" fontId="4" numFmtId="169" xfId="0">
      <alignment horizontal="center" indent="0" shrinkToFit="false" textRotation="0" vertical="center" wrapText="true"/>
      <protection hidden="false" locked="true"/>
    </xf>
    <xf applyAlignment="true" applyBorder="true" applyFont="true" applyProtection="false" borderId="14" fillId="0" fontId="0" numFmtId="164" xfId="0">
      <alignment horizontal="center" indent="0" shrinkToFit="false" textRotation="0" vertical="center" wrapText="true"/>
      <protection hidden="false" locked="true"/>
    </xf>
    <xf applyAlignment="true" applyBorder="true" applyFont="true" applyProtection="false" borderId="1" fillId="0" fontId="4" numFmtId="169" xfId="0">
      <alignment horizontal="center" indent="0" shrinkToFit="false" textRotation="0" vertical="center" wrapText="true"/>
      <protection hidden="false" locked="true"/>
    </xf>
    <xf applyAlignment="true" applyBorder="true" applyFont="true" applyProtection="false" borderId="9" fillId="3" fontId="0" numFmtId="167" xfId="0">
      <alignment horizontal="center" indent="0" shrinkToFit="false" textRotation="0" vertical="center" wrapText="true"/>
      <protection hidden="false" locked="true"/>
    </xf>
    <xf applyAlignment="true" applyBorder="true" applyFont="true" applyProtection="false" borderId="2" fillId="0" fontId="9" numFmtId="164" xfId="0">
      <alignment horizontal="center" indent="0" shrinkToFit="false" textRotation="0" vertical="center" wrapText="true"/>
      <protection hidden="false" locked="true"/>
    </xf>
    <xf applyAlignment="true" applyBorder="true" applyFont="true" applyProtection="false" borderId="9" fillId="7" fontId="4" numFmtId="169" xfId="0">
      <alignment horizontal="center" indent="0" shrinkToFit="false" textRotation="0" vertical="center" wrapText="true"/>
      <protection hidden="false" locked="true"/>
    </xf>
    <xf applyAlignment="true" applyBorder="true" applyFont="true" applyProtection="false" borderId="15" fillId="0" fontId="0" numFmtId="164" xfId="0">
      <alignment horizontal="center" indent="0" shrinkToFit="false" textRotation="0" vertical="center" wrapText="true"/>
      <protection hidden="false" locked="true"/>
    </xf>
    <xf applyAlignment="true" applyBorder="true" applyFont="true" applyProtection="false" borderId="15" fillId="0" fontId="0" numFmtId="165" xfId="0">
      <alignment horizontal="center" indent="0" shrinkToFit="false" textRotation="0" vertical="center" wrapText="true"/>
      <protection hidden="false" locked="true"/>
    </xf>
    <xf applyAlignment="true" applyBorder="true" applyFont="true" applyProtection="false" borderId="15" fillId="3" fontId="0" numFmtId="164" xfId="0">
      <alignment horizontal="center" indent="0" shrinkToFit="false" textRotation="0" vertical="center" wrapText="true"/>
      <protection hidden="false" locked="true"/>
    </xf>
    <xf applyAlignment="true" applyBorder="true" applyFont="true" applyProtection="false" borderId="15" fillId="0" fontId="0" numFmtId="167" xfId="0">
      <alignment horizontal="center" indent="0" shrinkToFit="false" textRotation="0" vertical="center" wrapText="true"/>
      <protection hidden="false" locked="true"/>
    </xf>
    <xf applyAlignment="true" applyBorder="true" applyFont="true" applyProtection="false" borderId="15" fillId="0" fontId="4" numFmtId="167" xfId="0">
      <alignment horizontal="center" indent="0" shrinkToFit="false" textRotation="0" vertical="center" wrapText="true"/>
      <protection hidden="false" locked="true"/>
    </xf>
    <xf applyAlignment="true" applyBorder="true" applyFont="true" applyProtection="false" borderId="15" fillId="0" fontId="4" numFmtId="169" xfId="0">
      <alignment horizontal="center" indent="0" shrinkToFit="false" textRotation="0" vertical="center" wrapText="true"/>
      <protection hidden="false" locked="true"/>
    </xf>
    <xf applyAlignment="true" applyBorder="true" applyFont="true" applyProtection="false" borderId="15" fillId="3" fontId="0" numFmtId="167" xfId="0">
      <alignment horizontal="center" indent="0" shrinkToFit="false" textRotation="0" vertical="center" wrapText="true"/>
      <protection hidden="false" locked="true"/>
    </xf>
    <xf applyAlignment="true" applyBorder="true" applyFont="true" applyProtection="false" borderId="9" fillId="6" fontId="4" numFmtId="169" xfId="0">
      <alignment horizontal="center" indent="0" shrinkToFit="false" textRotation="0" vertical="center" wrapText="true"/>
      <protection hidden="false" locked="true"/>
    </xf>
    <xf applyAlignment="true" applyBorder="true" applyFont="true" applyProtection="false" borderId="2" fillId="9" fontId="0" numFmtId="164" xfId="0">
      <alignment horizontal="center" indent="0" shrinkToFit="false" textRotation="0" vertical="center" wrapText="true"/>
      <protection hidden="false" locked="true"/>
    </xf>
    <xf applyAlignment="true" applyBorder="true" applyFont="true" applyProtection="false" borderId="3" fillId="0" fontId="0" numFmtId="168" xfId="0">
      <alignment horizontal="center" indent="0" shrinkToFit="false" textRotation="0" vertical="center" wrapText="true"/>
      <protection hidden="false" locked="true"/>
    </xf>
    <xf applyAlignment="true" applyBorder="false" applyFont="true" applyProtection="false" borderId="0" fillId="0" fontId="8" numFmtId="164" xfId="0">
      <alignment horizontal="center" indent="0" shrinkToFit="false" textRotation="0" vertical="center" wrapText="true"/>
      <protection hidden="false" locked="true"/>
    </xf>
    <xf applyAlignment="true" applyBorder="true" applyFont="true" applyProtection="false" borderId="1" fillId="0" fontId="0" numFmtId="168" xfId="0">
      <alignment horizontal="center" indent="0" shrinkToFit="false" textRotation="0" vertical="center" wrapText="false"/>
      <protection hidden="false" locked="true"/>
    </xf>
    <xf applyAlignment="true" applyBorder="true" applyFont="true" applyProtection="false" borderId="1" fillId="3" fontId="0" numFmtId="168" xfId="0">
      <alignment horizontal="center" indent="0" shrinkToFit="false" textRotation="0" vertical="center" wrapText="false"/>
      <protection hidden="false" locked="true"/>
    </xf>
    <xf applyAlignment="true" applyBorder="true" applyFont="true" applyProtection="false" borderId="1" fillId="5" fontId="0" numFmtId="168" xfId="0">
      <alignment horizontal="center" indent="0" shrinkToFit="false" textRotation="0" vertical="center" wrapText="false"/>
      <protection hidden="false" locked="true"/>
    </xf>
    <xf applyAlignment="true" applyBorder="true" applyFont="false" applyProtection="false" borderId="0" fillId="0" fontId="0" numFmtId="165" xfId="0">
      <alignment horizontal="center" indent="0" shrinkToFit="false" textRotation="0" vertical="bottom" wrapText="false"/>
      <protection hidden="false" locked="true"/>
    </xf>
    <xf applyAlignment="true" applyBorder="true" applyFont="false" applyProtection="false" borderId="0" fillId="0" fontId="0" numFmtId="164" xfId="0">
      <alignment horizontal="center" indent="0" shrinkToFit="false" textRotation="0" vertical="bottom" wrapText="false"/>
      <protection hidden="false" locked="true"/>
    </xf>
    <xf applyAlignment="true" applyBorder="true" applyFont="true" applyProtection="false" borderId="0" fillId="0" fontId="0" numFmtId="165" xfId="0">
      <alignment horizontal="center" indent="0" shrinkToFit="false" textRotation="0" vertical="bottom" wrapText="false"/>
      <protection hidden="false" locked="true"/>
    </xf>
    <xf applyAlignment="true" applyBorder="true" applyFont="true" applyProtection="false" borderId="16" fillId="0" fontId="10" numFmtId="165" xfId="0">
      <alignment horizontal="center" indent="0" shrinkToFit="false" textRotation="0" vertical="bottom" wrapText="false"/>
      <protection hidden="false" locked="true"/>
    </xf>
    <xf applyAlignment="true" applyBorder="true" applyFont="true" applyProtection="false" borderId="16" fillId="0" fontId="6" numFmtId="165" xfId="0">
      <alignment horizontal="center" indent="0" shrinkToFit="false" textRotation="0" vertical="bottom" wrapText="false"/>
      <protection hidden="false" locked="true"/>
    </xf>
    <xf applyAlignment="true" applyBorder="true" applyFont="true" applyProtection="false" borderId="16" fillId="10" fontId="10" numFmtId="165" xfId="0">
      <alignment horizontal="center" indent="0" shrinkToFit="false" textRotation="0" vertical="bottom" wrapText="false"/>
      <protection hidden="false" locked="true"/>
    </xf>
    <xf applyAlignment="true" applyBorder="true" applyFont="true" applyProtection="false" borderId="0" fillId="0" fontId="10" numFmtId="165" xfId="0">
      <alignment horizontal="center" indent="0" shrinkToFit="false" textRotation="0" vertical="bottom" wrapText="false"/>
      <protection hidden="false" locked="true"/>
    </xf>
    <xf applyAlignment="true" applyBorder="true" applyFont="true" applyProtection="false" borderId="16" fillId="0" fontId="8" numFmtId="165" xfId="0">
      <alignment horizontal="center" indent="0" shrinkToFit="false" textRotation="0" vertical="bottom" wrapText="false"/>
      <protection hidden="false" locked="true"/>
    </xf>
    <xf applyAlignment="true" applyBorder="true" applyFont="true" applyProtection="false" borderId="16" fillId="0" fontId="7" numFmtId="165" xfId="0">
      <alignment horizontal="center" indent="0" shrinkToFit="false" textRotation="0" vertical="center" wrapText="false"/>
      <protection hidden="false" locked="true"/>
    </xf>
    <xf applyAlignment="true" applyBorder="true" applyFont="true" applyProtection="false" borderId="16" fillId="10" fontId="7" numFmtId="165" xfId="0">
      <alignment horizontal="center" indent="0" shrinkToFit="false" textRotation="0" vertical="center" wrapText="false"/>
      <protection hidden="false" locked="true"/>
    </xf>
    <xf applyAlignment="true" applyBorder="true" applyFont="true" applyProtection="false" borderId="16" fillId="0" fontId="7" numFmtId="164" xfId="0">
      <alignment horizontal="center" indent="0" shrinkToFit="false" textRotation="0" vertical="center" wrapText="false"/>
      <protection hidden="false" locked="true"/>
    </xf>
    <xf applyAlignment="true" applyBorder="true" applyFont="true" applyProtection="false" borderId="0" fillId="0" fontId="8" numFmtId="165" xfId="0">
      <alignment horizontal="center" indent="0" shrinkToFit="false" textRotation="0" vertical="bottom" wrapText="false"/>
      <protection hidden="false" locked="true"/>
    </xf>
    <xf applyAlignment="true" applyBorder="true" applyFont="true" applyProtection="false" borderId="16" fillId="0" fontId="0" numFmtId="164" xfId="0">
      <alignment horizontal="center" indent="0" shrinkToFit="false" textRotation="0" vertical="center" wrapText="true"/>
      <protection hidden="false" locked="true"/>
    </xf>
    <xf applyAlignment="true" applyBorder="true" applyFont="true" applyProtection="false" borderId="16" fillId="0" fontId="0" numFmtId="165" xfId="0">
      <alignment horizontal="center" indent="0" shrinkToFit="false" textRotation="0" vertical="center" wrapText="true"/>
      <protection hidden="false" locked="true"/>
    </xf>
    <xf applyAlignment="true" applyBorder="true" applyFont="true" applyProtection="false" borderId="16" fillId="0" fontId="0" numFmtId="165" xfId="0">
      <alignment horizontal="center" indent="0" shrinkToFit="false" textRotation="0" vertical="bottom" wrapText="false"/>
      <protection hidden="false" locked="true"/>
    </xf>
    <xf applyAlignment="true" applyBorder="true" applyFont="false" applyProtection="false" borderId="16" fillId="10" fontId="0" numFmtId="165" xfId="0">
      <alignment horizontal="center" indent="0" shrinkToFit="false" textRotation="0" vertical="bottom" wrapText="false"/>
      <protection hidden="false" locked="true"/>
    </xf>
    <xf applyAlignment="true" applyBorder="true" applyFont="true" applyProtection="false" borderId="16" fillId="11" fontId="0" numFmtId="165" xfId="0">
      <alignment horizontal="center" indent="0" shrinkToFit="false" textRotation="0" vertical="bottom" wrapText="false"/>
      <protection hidden="false" locked="true"/>
    </xf>
    <xf applyAlignment="true" applyBorder="true" applyFont="true" applyProtection="false" borderId="16" fillId="12" fontId="0" numFmtId="165" xfId="0">
      <alignment horizontal="center" indent="0" shrinkToFit="false" textRotation="0" vertical="bottom" wrapText="false"/>
      <protection hidden="false" locked="true"/>
    </xf>
    <xf applyAlignment="true" applyBorder="true" applyFont="true" applyProtection="false" borderId="16" fillId="11" fontId="0" numFmtId="164" xfId="0">
      <alignment horizontal="center" indent="0" shrinkToFit="false" textRotation="0" vertical="bottom" wrapText="false"/>
      <protection hidden="false" locked="true"/>
    </xf>
    <xf applyAlignment="true" applyBorder="true" applyFont="false" applyProtection="false" borderId="16" fillId="0" fontId="0" numFmtId="165" xfId="0">
      <alignment horizontal="center" indent="0" shrinkToFit="false" textRotation="0" vertical="bottom" wrapText="false"/>
      <protection hidden="false" locked="true"/>
    </xf>
    <xf applyAlignment="true" applyBorder="true" applyFont="true" applyProtection="false" borderId="16" fillId="13" fontId="0" numFmtId="165" xfId="0">
      <alignment horizontal="center" indent="0" shrinkToFit="false" textRotation="0" vertical="bottom" wrapText="false"/>
      <protection hidden="false" locked="true"/>
    </xf>
    <xf applyAlignment="true" applyBorder="true" applyFont="true" applyProtection="false" borderId="16" fillId="13" fontId="0" numFmtId="164" xfId="0">
      <alignment horizontal="center" indent="0" shrinkToFit="false" textRotation="0" vertical="bottom" wrapText="false"/>
      <protection hidden="false" locked="true"/>
    </xf>
    <xf applyAlignment="true" applyBorder="true" applyFont="true" applyProtection="false" borderId="16" fillId="14" fontId="0" numFmtId="165" xfId="0">
      <alignment horizontal="center" indent="0" shrinkToFit="false" textRotation="0" vertical="bottom" wrapText="false"/>
      <protection hidden="false" locked="true"/>
    </xf>
    <xf applyAlignment="true" applyBorder="true" applyFont="true" applyProtection="false" borderId="16" fillId="15" fontId="0" numFmtId="165" xfId="0">
      <alignment horizontal="center" indent="0" shrinkToFit="false" textRotation="0" vertical="bottom" wrapText="false"/>
      <protection hidden="false" locked="true"/>
    </xf>
    <xf applyAlignment="true" applyBorder="true" applyFont="false" applyProtection="false" borderId="16" fillId="11" fontId="0" numFmtId="164" xfId="0">
      <alignment horizontal="center" indent="0" shrinkToFit="false" textRotation="0" vertical="bottom" wrapText="false"/>
      <protection hidden="false" locked="true"/>
    </xf>
    <xf applyAlignment="true" applyBorder="true" applyFont="true" applyProtection="false" borderId="16" fillId="0" fontId="8" numFmtId="164" xfId="0">
      <alignment horizontal="center" indent="0" shrinkToFit="false" textRotation="0" vertical="center" wrapText="true"/>
      <protection hidden="false" locked="true"/>
    </xf>
    <xf applyAlignment="true" applyBorder="true" applyFont="false" applyProtection="false" borderId="16" fillId="0" fontId="0" numFmtId="164" xfId="0">
      <alignment horizontal="center" indent="0" shrinkToFit="false" textRotation="0" vertical="bottom" wrapText="false"/>
      <protection hidden="false" locked="true"/>
    </xf>
    <xf applyAlignment="true" applyBorder="true" applyFont="true" applyProtection="false" borderId="16" fillId="0" fontId="0" numFmtId="164" xfId="0">
      <alignment horizontal="center" indent="0" shrinkToFit="false" textRotation="0" vertical="bottom" wrapText="false"/>
      <protection hidden="false" locked="true"/>
    </xf>
    <xf applyAlignment="true" applyBorder="false" applyFont="false" applyProtection="false" borderId="0" fillId="0" fontId="0" numFmtId="164" xfId="0">
      <alignment horizontal="center" indent="0" shrinkToFit="false" textRotation="0" vertical="bottom" wrapText="false"/>
      <protection hidden="false" locked="true"/>
    </xf>
    <xf applyAlignment="true" applyBorder="true" applyFont="true" applyProtection="false" borderId="16" fillId="10" fontId="0" numFmtId="165" xfId="0">
      <alignment horizontal="center" indent="0" shrinkToFit="false" textRotation="0" vertical="bottom" wrapText="false"/>
      <protection hidden="false" locked="true"/>
    </xf>
    <xf applyAlignment="true" applyBorder="false" applyFont="true" applyProtection="false" borderId="0" fillId="0" fontId="0" numFmtId="167" xfId="0">
      <alignment horizontal="center" indent="0" shrinkToFit="false" textRotation="0" vertical="center" wrapText="false"/>
      <protection hidden="false" locked="true"/>
    </xf>
    <xf applyAlignment="true" applyBorder="false" applyFont="true" applyProtection="false" borderId="0" fillId="0" fontId="0" numFmtId="170" xfId="0">
      <alignment horizontal="center" indent="0" shrinkToFit="false" textRotation="0" vertical="center" wrapText="false"/>
      <protection hidden="false" locked="true"/>
    </xf>
    <xf applyAlignment="true" applyBorder="false" applyFont="true" applyProtection="false" borderId="0" fillId="0" fontId="0" numFmtId="171" xfId="0">
      <alignment horizontal="center" indent="0" shrinkToFit="false" textRotation="0" vertical="center" wrapText="false"/>
      <protection hidden="false" locked="true"/>
    </xf>
    <xf applyAlignment="true" applyBorder="false" applyFont="true" applyProtection="false" borderId="0" fillId="0" fontId="0" numFmtId="168" xfId="0">
      <alignment horizontal="center" indent="0" shrinkToFit="false" textRotation="0" vertical="center" wrapText="false"/>
      <protection hidden="false" locked="true"/>
    </xf>
    <xf applyAlignment="true" applyBorder="false" applyFont="true" applyProtection="false" borderId="0" fillId="0" fontId="0" numFmtId="170" xfId="0">
      <alignment horizontal="center" indent="0" shrinkToFit="false" textRotation="0" vertical="center" wrapText="true"/>
      <protection hidden="false" locked="true"/>
    </xf>
    <xf applyAlignment="true" applyBorder="false" applyFont="true" applyProtection="false" borderId="0" fillId="0" fontId="0" numFmtId="171" xfId="0">
      <alignment horizontal="center" indent="0" shrinkToFit="false" textRotation="0" vertical="center" wrapText="true"/>
      <protection hidden="false" locked="true"/>
    </xf>
    <xf applyAlignment="true" applyBorder="true" applyFont="true" applyProtection="false" borderId="0" fillId="0" fontId="0" numFmtId="170" xfId="0">
      <alignment horizontal="center" indent="0" shrinkToFit="false" textRotation="0" vertical="center" wrapText="true"/>
      <protection hidden="false" locked="true"/>
    </xf>
    <xf applyAlignment="true" applyBorder="false" applyFont="true" applyProtection="false" borderId="0" fillId="0" fontId="4" numFmtId="167" xfId="0">
      <alignment horizontal="center" indent="0" shrinkToFit="false" textRotation="0" vertical="center" wrapText="false"/>
      <protection hidden="false" locked="true"/>
    </xf>
    <xf applyAlignment="true" applyBorder="false" applyFont="true" applyProtection="false" borderId="0" fillId="0" fontId="4" numFmtId="171" xfId="0">
      <alignment horizontal="center" indent="0" shrinkToFit="false" textRotation="0" vertical="center" wrapText="false"/>
      <protection hidden="false" locked="true"/>
    </xf>
    <xf applyAlignment="true" applyBorder="false" applyFont="true" applyProtection="false" borderId="0" fillId="0" fontId="4" numFmtId="168" xfId="0">
      <alignment horizontal="center" indent="0" shrinkToFit="false" textRotation="0" vertical="center" wrapText="false"/>
      <protection hidden="false" locked="true"/>
    </xf>
    <xf applyAlignment="true" applyBorder="false" applyFont="true" applyProtection="false" borderId="0" fillId="0" fontId="8" numFmtId="164" xfId="0">
      <alignment horizontal="center" indent="0" shrinkToFit="false" textRotation="0" vertical="center" wrapText="false"/>
      <protection hidden="false" locked="true"/>
    </xf>
    <xf applyAlignment="true" applyBorder="true" applyFont="true" applyProtection="false" borderId="17" fillId="0" fontId="4" numFmtId="164" xfId="0">
      <alignment horizontal="center" indent="0" shrinkToFit="false" textRotation="0" vertical="bottom" wrapText="false"/>
      <protection hidden="false" locked="true"/>
    </xf>
    <xf applyAlignment="true" applyBorder="true" applyFont="true" applyProtection="false" borderId="17" fillId="10" fontId="4" numFmtId="164" xfId="0">
      <alignment horizontal="center" indent="0" shrinkToFit="false" textRotation="0" vertical="center" wrapText="false"/>
      <protection hidden="false" locked="true"/>
    </xf>
    <xf applyAlignment="true" applyBorder="true" applyFont="true" applyProtection="false" borderId="17" fillId="0" fontId="4" numFmtId="164" xfId="0">
      <alignment horizontal="center" indent="0" shrinkToFit="false" textRotation="0" vertical="center" wrapText="false"/>
      <protection hidden="false" locked="true"/>
    </xf>
    <xf applyAlignment="true" applyBorder="true" applyFont="true" applyProtection="false" borderId="17" fillId="0" fontId="0" numFmtId="164" xfId="0">
      <alignment horizontal="center" indent="0" shrinkToFit="false" textRotation="0" vertical="center" wrapText="false"/>
      <protection hidden="false" locked="true"/>
    </xf>
    <xf applyAlignment="true" applyBorder="true" applyFont="true" applyProtection="false" borderId="17" fillId="10" fontId="4" numFmtId="168" xfId="0">
      <alignment horizontal="center" indent="0" shrinkToFit="false" textRotation="0" vertical="center" wrapText="true"/>
      <protection hidden="false" locked="true"/>
    </xf>
    <xf applyAlignment="true" applyBorder="true" applyFont="true" applyProtection="false" borderId="17" fillId="10" fontId="4" numFmtId="171" xfId="0">
      <alignment horizontal="center" indent="0" shrinkToFit="false" textRotation="0" vertical="center" wrapText="false"/>
      <protection hidden="false" locked="true"/>
    </xf>
    <xf applyAlignment="true" applyBorder="true" applyFont="true" applyProtection="false" borderId="17" fillId="0" fontId="4" numFmtId="167" xfId="0">
      <alignment horizontal="center" indent="0" shrinkToFit="false" textRotation="0" vertical="center" wrapText="false"/>
      <protection hidden="false" locked="true"/>
    </xf>
    <xf applyAlignment="true" applyBorder="true" applyFont="true" applyProtection="false" borderId="17" fillId="0" fontId="4" numFmtId="171" xfId="0">
      <alignment horizontal="center" indent="0" shrinkToFit="false" textRotation="0" vertical="center" wrapText="false"/>
      <protection hidden="false" locked="true"/>
    </xf>
    <xf applyAlignment="true" applyBorder="true" applyFont="true" applyProtection="false" borderId="17" fillId="10" fontId="4" numFmtId="169" xfId="0">
      <alignment horizontal="center" indent="0" shrinkToFit="false" textRotation="0" vertical="center" wrapText="false"/>
      <protection hidden="false" locked="true"/>
    </xf>
    <xf applyAlignment="true" applyBorder="true" applyFont="true" applyProtection="false" borderId="17" fillId="10" fontId="4" numFmtId="168" xfId="0">
      <alignment horizontal="center" indent="0" shrinkToFit="false" textRotation="0" vertical="center" wrapText="false"/>
      <protection hidden="false" locked="true"/>
    </xf>
    <xf applyAlignment="true" applyBorder="true" applyFont="true" applyProtection="false" borderId="17" fillId="10" fontId="4" numFmtId="164" xfId="0">
      <alignment horizontal="center" indent="0" shrinkToFit="false" textRotation="0" vertical="bottom" wrapText="false"/>
      <protection hidden="false" locked="true"/>
    </xf>
    <xf applyAlignment="true" applyBorder="true" applyFont="true" applyProtection="false" borderId="17" fillId="0" fontId="0" numFmtId="164" xfId="0">
      <alignment horizontal="center" indent="0" shrinkToFit="false" textRotation="0" vertical="bottom" wrapText="false"/>
      <protection hidden="false" locked="true"/>
    </xf>
    <xf applyAlignment="true" applyBorder="false" applyFont="true" applyProtection="false" borderId="0" fillId="0" fontId="11" numFmtId="164" xfId="0">
      <alignment horizontal="center" indent="0" shrinkToFit="false" textRotation="0" vertical="center" wrapText="false"/>
      <protection hidden="false" locked="true"/>
    </xf>
    <xf applyAlignment="true" applyBorder="true" applyFont="true" applyProtection="false" borderId="17" fillId="3" fontId="4" numFmtId="164" xfId="0">
      <alignment horizontal="center" indent="0" shrinkToFit="false" textRotation="0" vertical="center" wrapText="false"/>
      <protection hidden="false" locked="true"/>
    </xf>
    <xf applyAlignment="true" applyBorder="false" applyFont="true" applyProtection="false" borderId="0" fillId="0" fontId="9" numFmtId="164" xfId="0">
      <alignment horizontal="center" indent="0" shrinkToFit="false" textRotation="0" vertical="center" wrapText="false"/>
      <protection hidden="false" locked="true"/>
    </xf>
    <xf applyAlignment="true" applyBorder="true" applyFont="true" applyProtection="false" borderId="17" fillId="15" fontId="0" numFmtId="164" xfId="0">
      <alignment horizontal="center" indent="0" shrinkToFit="false" textRotation="0" vertical="center" wrapText="false"/>
      <protection hidden="false" locked="true"/>
    </xf>
    <xf applyAlignment="true" applyBorder="true" applyFont="true" applyProtection="false" borderId="17" fillId="11" fontId="0" numFmtId="167" xfId="0">
      <alignment horizontal="center" indent="0" shrinkToFit="false" textRotation="0" vertical="center" wrapText="true"/>
      <protection hidden="false" locked="true"/>
    </xf>
    <xf applyAlignment="true" applyBorder="true" applyFont="true" applyProtection="false" borderId="17" fillId="11" fontId="0" numFmtId="172" xfId="0">
      <alignment horizontal="center" indent="0" shrinkToFit="false" textRotation="0" vertical="center" wrapText="true"/>
      <protection hidden="false" locked="true"/>
    </xf>
    <xf applyAlignment="true" applyBorder="true" applyFont="true" applyProtection="false" borderId="17" fillId="11" fontId="0" numFmtId="171" xfId="0">
      <alignment horizontal="center" indent="0" shrinkToFit="false" textRotation="0" vertical="center" wrapText="true"/>
      <protection hidden="false" locked="true"/>
    </xf>
    <xf applyAlignment="true" applyBorder="true" applyFont="true" applyProtection="false" borderId="17" fillId="11" fontId="0" numFmtId="164" xfId="0">
      <alignment horizontal="center" indent="0" shrinkToFit="false" textRotation="0" vertical="bottom" wrapText="false"/>
      <protection hidden="false" locked="true"/>
    </xf>
    <xf applyAlignment="true" applyBorder="true" applyFont="true" applyProtection="false" borderId="17" fillId="11" fontId="0" numFmtId="167" xfId="0">
      <alignment horizontal="center" indent="0" shrinkToFit="false" textRotation="0" vertical="center" wrapText="false"/>
      <protection hidden="false" locked="true"/>
    </xf>
    <xf applyAlignment="true" applyBorder="true" applyFont="true" applyProtection="false" borderId="17" fillId="11" fontId="0" numFmtId="170" xfId="0">
      <alignment horizontal="center" indent="0" shrinkToFit="false" textRotation="0" vertical="center" wrapText="false"/>
      <protection hidden="false" locked="true"/>
    </xf>
    <xf applyAlignment="true" applyBorder="true" applyFont="true" applyProtection="false" borderId="17" fillId="11" fontId="0" numFmtId="171" xfId="0">
      <alignment horizontal="center" indent="0" shrinkToFit="false" textRotation="0" vertical="center" wrapText="false"/>
      <protection hidden="false" locked="true"/>
    </xf>
    <xf applyAlignment="true" applyBorder="true" applyFont="true" applyProtection="false" borderId="17" fillId="11" fontId="4" numFmtId="169" xfId="0">
      <alignment horizontal="center" indent="0" shrinkToFit="false" textRotation="0" vertical="center" wrapText="false"/>
      <protection hidden="false" locked="true"/>
    </xf>
    <xf applyAlignment="true" applyBorder="false" applyFont="true" applyProtection="false" borderId="0" fillId="0" fontId="8" numFmtId="168" xfId="0">
      <alignment horizontal="center" indent="0" shrinkToFit="false" textRotation="0" vertical="center" wrapText="false"/>
      <protection hidden="false" locked="true"/>
    </xf>
    <xf applyAlignment="true" applyBorder="false" applyFont="false" applyProtection="false" borderId="0" fillId="0" fontId="0" numFmtId="173" xfId="0">
      <alignment horizontal="center" indent="0" shrinkToFit="false" textRotation="0" vertical="bottom" wrapText="false"/>
      <protection hidden="false" locked="true"/>
    </xf>
    <xf applyAlignment="true" applyBorder="true" applyFont="true" applyProtection="false" borderId="17" fillId="11" fontId="0" numFmtId="165" xfId="0">
      <alignment horizontal="center" indent="0" shrinkToFit="false" textRotation="0" vertical="center" wrapText="false"/>
      <protection hidden="false" locked="true"/>
    </xf>
    <xf applyAlignment="true" applyBorder="true" applyFont="true" applyProtection="false" borderId="17" fillId="10" fontId="0" numFmtId="164" xfId="0">
      <alignment horizontal="center" indent="0" shrinkToFit="false" textRotation="0" vertical="center" wrapText="false"/>
      <protection hidden="false" locked="true"/>
    </xf>
    <xf applyAlignment="true" applyBorder="true" applyFont="true" applyProtection="false" borderId="17" fillId="10" fontId="0" numFmtId="167" xfId="0">
      <alignment horizontal="center" indent="0" shrinkToFit="false" textRotation="0" vertical="center" wrapText="false"/>
      <protection hidden="false" locked="true"/>
    </xf>
    <xf applyAlignment="true" applyBorder="true" applyFont="false" applyProtection="false" borderId="17" fillId="0" fontId="0" numFmtId="164" xfId="0">
      <alignment horizontal="center" indent="0" shrinkToFit="false" textRotation="0" vertical="bottom" wrapText="false"/>
      <protection hidden="false" locked="true"/>
    </xf>
    <xf applyAlignment="true" applyBorder="true" applyFont="true" applyProtection="false" borderId="17" fillId="0" fontId="0" numFmtId="167" xfId="0">
      <alignment horizontal="center" indent="0" shrinkToFit="false" textRotation="0" vertical="center" wrapText="false"/>
      <protection hidden="false" locked="true"/>
    </xf>
    <xf applyAlignment="true" applyBorder="true" applyFont="true" applyProtection="false" borderId="17" fillId="0" fontId="8" numFmtId="164" xfId="0">
      <alignment horizontal="center" indent="0" shrinkToFit="false" textRotation="0" vertical="center" wrapText="false"/>
      <protection hidden="false" locked="true"/>
    </xf>
  </cellXfs>
  <cellStyles count="6">
    <cellStyle builtinId="0" customBuiltin="false" name="Normal" xfId="0"/>
    <cellStyle builtinId="3" customBuiltin="false" name="Comma" xfId="15"/>
    <cellStyle builtinId="6" customBuiltin="false" name="Comma [0]" xfId="16"/>
    <cellStyle builtinId="4" customBuiltin="false" name="Currency" xfId="17"/>
    <cellStyle builtinId="7" customBuiltin="false" name="Currency [0]" xfId="18"/>
    <cellStyle builtinId="5" customBuiltin="false" name="Percent" xfId="19"/>
  </cellStyles>
  <colors>
    <indexedColors>
      <rgbColor rgb="FF000000"/>
      <rgbColor rgb="FFFFFFFF"/>
      <rgbColor rgb="FFFF0000"/>
      <rgbColor rgb="FF00FF00"/>
      <rgbColor rgb="FF0000FF"/>
      <rgbColor rgb="FFFFFF00"/>
      <rgbColor rgb="FFFF00FF"/>
      <rgbColor rgb="FF00FFFF"/>
      <rgbColor rgb="FF800000"/>
      <rgbColor rgb="FF00AE00"/>
      <rgbColor rgb="FF000080"/>
      <rgbColor rgb="FF808000"/>
      <rgbColor rgb="FF800080"/>
      <rgbColor rgb="FF008080"/>
      <rgbColor rgb="FFC4BD97"/>
      <rgbColor rgb="FF808080"/>
      <rgbColor rgb="FF729FCF"/>
      <rgbColor rgb="FFFF3333"/>
      <rgbColor rgb="FFFFFFCC"/>
      <rgbColor rgb="FFCFE7F5"/>
      <rgbColor rgb="FF660066"/>
      <rgbColor rgb="FFFF8080"/>
      <rgbColor rgb="FF0066CC"/>
      <rgbColor rgb="FFC6D9F1"/>
      <rgbColor rgb="FF000080"/>
      <rgbColor rgb="FFFF00FF"/>
      <rgbColor rgb="FFFFFF00"/>
      <rgbColor rgb="FF00FFFF"/>
      <rgbColor rgb="FF800080"/>
      <rgbColor rgb="FF800000"/>
      <rgbColor rgb="FF008080"/>
      <rgbColor rgb="FF0000FF"/>
      <rgbColor rgb="FF00CCFF"/>
      <rgbColor rgb="FFCCFFFF"/>
      <rgbColor rgb="FFCCFFCC"/>
      <rgbColor rgb="FFFFFF99"/>
      <rgbColor rgb="FF95B3D7"/>
      <rgbColor rgb="FFFF99CC"/>
      <rgbColor rgb="FFCC99FF"/>
      <rgbColor rgb="FFFFCC99"/>
      <rgbColor rgb="FF3366FF"/>
      <rgbColor rgb="FF33CC66"/>
      <rgbColor rgb="FF99CC00"/>
      <rgbColor rgb="FFFFC000"/>
      <rgbColor rgb="FFFF9900"/>
      <rgbColor rgb="FFFF420E"/>
      <rgbColor rgb="FF558ED5"/>
      <rgbColor rgb="FF969696"/>
      <rgbColor rgb="FF003366"/>
      <rgbColor rgb="FF339966"/>
      <rgbColor rgb="FF003300"/>
      <rgbColor rgb="FF333300"/>
      <rgbColor rgb="FFDC2300"/>
      <rgbColor rgb="FF993366"/>
      <rgbColor rgb="FF333399"/>
      <rgbColor rgb="FF222222"/>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worksheet" Target="worksheets/sheet7.xml"/><Relationship Id="rId9" Type="http://schemas.openxmlformats.org/officeDocument/2006/relationships/worksheet" Target="worksheets/sheet8.xml"/><Relationship Id="rId10" Type="http://schemas.openxmlformats.org/officeDocument/2006/relationships/worksheet" Target="worksheets/sheet9.xml"/><Relationship Id="rId11" Type="http://schemas.openxmlformats.org/officeDocument/2006/relationships/worksheet" Target="worksheets/sheet10.xml"/><Relationship Id="rId12"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2:G56"/>
  <sheetViews>
    <sheetView colorId="64" defaultGridColor="true" rightToLeft="false" showFormulas="false" showGridLines="true" showOutlineSymbols="true" showRowColHeaders="true" showZeros="true" tabSelected="false" topLeftCell="A2" view="normal" windowProtection="false" workbookViewId="0" zoomScale="95" zoomScaleNormal="95" zoomScalePageLayoutView="100">
      <selection activeCell="D40" activeCellId="0" pane="topLeft" sqref="D40"/>
    </sheetView>
  </sheetViews>
  <sheetFormatPr defaultRowHeight="15.75"/>
  <cols>
    <col collapsed="false" hidden="false" max="1" min="1" style="1" width="8.12093023255814"/>
    <col collapsed="false" hidden="false" max="2" min="2" style="2" width="27.8790697674419"/>
    <col collapsed="false" hidden="false" max="3" min="3" style="2" width="12.6279069767442"/>
    <col collapsed="false" hidden="false" max="4" min="4" style="2" width="12.5023255813953"/>
    <col collapsed="false" hidden="false" max="5" min="5" style="3" width="9.37674418604651"/>
    <col collapsed="false" hidden="false" max="6" min="6" style="3" width="41.3720930232558"/>
    <col collapsed="false" hidden="false" max="7" min="7" style="1" width="251.13023255814"/>
    <col collapsed="false" hidden="false" max="1025" min="8" style="1" width="10.8697674418605"/>
  </cols>
  <sheetData>
    <row collapsed="false" customFormat="false" customHeight="false" hidden="false" ht="18.75" outlineLevel="0" r="2">
      <c r="B2" s="4" t="s">
        <v>0</v>
      </c>
      <c r="C2" s="4"/>
      <c r="D2" s="4"/>
    </row>
    <row collapsed="false" customFormat="true" customHeight="false" hidden="false" ht="15.75" outlineLevel="0" r="3" s="5">
      <c r="A3" s="5" t="s">
        <v>1</v>
      </c>
      <c r="B3" s="6"/>
      <c r="C3" s="6"/>
      <c r="D3" s="6"/>
      <c r="E3" s="7"/>
      <c r="F3" s="7"/>
      <c r="G3" s="7"/>
    </row>
    <row collapsed="false" customFormat="true" customHeight="false" hidden="false" ht="15.75" outlineLevel="0" r="4" s="5">
      <c r="A4" s="5" t="s">
        <v>2</v>
      </c>
      <c r="B4" s="6" t="s">
        <v>3</v>
      </c>
      <c r="C4" s="6" t="s">
        <v>4</v>
      </c>
      <c r="D4" s="8" t="s">
        <v>5</v>
      </c>
      <c r="E4" s="7" t="s">
        <v>6</v>
      </c>
      <c r="F4" s="7"/>
      <c r="G4" s="7"/>
    </row>
    <row collapsed="false" customFormat="false" customHeight="false" hidden="false" ht="15.75" outlineLevel="0" r="5">
      <c r="B5" s="9" t="s">
        <v>7</v>
      </c>
      <c r="C5" s="9"/>
      <c r="D5" s="10"/>
      <c r="E5" s="11"/>
      <c r="F5" s="11"/>
      <c r="G5" s="11"/>
    </row>
    <row collapsed="false" customFormat="false" customHeight="false" hidden="false" ht="15.75" outlineLevel="0" r="6">
      <c r="A6" s="1" t="s">
        <v>8</v>
      </c>
      <c r="B6" s="12" t="s">
        <v>9</v>
      </c>
      <c r="C6" s="12" t="s">
        <v>10</v>
      </c>
      <c r="D6" s="13" t="str">
        <f aca="false">DEC2HEX(C6)</f>
        <v>1</v>
      </c>
      <c r="E6" s="1" t="s">
        <v>11</v>
      </c>
    </row>
    <row collapsed="false" customFormat="false" customHeight="false" hidden="false" ht="15.75" outlineLevel="0" r="7">
      <c r="A7" s="1" t="s">
        <v>8</v>
      </c>
      <c r="B7" s="12" t="s">
        <v>12</v>
      </c>
      <c r="C7" s="12" t="s">
        <v>13</v>
      </c>
      <c r="D7" s="13" t="str">
        <f aca="false">DEC2HEX(C7)</f>
        <v>2</v>
      </c>
      <c r="E7" s="1" t="s">
        <v>14</v>
      </c>
    </row>
    <row collapsed="false" customFormat="false" customHeight="false" hidden="false" ht="15.75" outlineLevel="0" r="8">
      <c r="A8" s="1" t="s">
        <v>8</v>
      </c>
      <c r="B8" s="12" t="s">
        <v>15</v>
      </c>
      <c r="C8" s="12" t="s">
        <v>16</v>
      </c>
      <c r="D8" s="13" t="str">
        <f aca="false">DEC2HEX(C8)</f>
        <v>3</v>
      </c>
      <c r="E8" s="1" t="s">
        <v>17</v>
      </c>
    </row>
    <row collapsed="false" customFormat="false" customHeight="false" hidden="false" ht="15.75" outlineLevel="0" r="9">
      <c r="A9" s="1" t="s">
        <v>8</v>
      </c>
      <c r="B9" s="12" t="s">
        <v>18</v>
      </c>
      <c r="C9" s="12" t="s">
        <v>19</v>
      </c>
      <c r="D9" s="13" t="str">
        <f aca="false">DEC2HEX(C9)</f>
        <v>4</v>
      </c>
      <c r="E9" s="1" t="s">
        <v>20</v>
      </c>
    </row>
    <row collapsed="false" customFormat="false" customHeight="false" hidden="false" ht="15.75" outlineLevel="0" r="10">
      <c r="A10" s="1" t="s">
        <v>8</v>
      </c>
      <c r="B10" s="12" t="s">
        <v>21</v>
      </c>
      <c r="C10" s="12" t="s">
        <v>22</v>
      </c>
      <c r="D10" s="13" t="str">
        <f aca="false">DEC2HEX(C10)</f>
        <v>5</v>
      </c>
      <c r="E10" s="1" t="s">
        <v>23</v>
      </c>
    </row>
    <row collapsed="false" customFormat="false" customHeight="false" hidden="false" ht="15.75" outlineLevel="0" r="11">
      <c r="A11" s="1" t="s">
        <v>8</v>
      </c>
      <c r="B11" s="12" t="s">
        <v>24</v>
      </c>
      <c r="C11" s="12" t="s">
        <v>25</v>
      </c>
      <c r="D11" s="13" t="str">
        <f aca="false">DEC2HEX(C11)</f>
        <v>6</v>
      </c>
      <c r="E11" s="1" t="s">
        <v>26</v>
      </c>
    </row>
    <row collapsed="false" customFormat="false" customHeight="false" hidden="false" ht="15.75" outlineLevel="0" r="12">
      <c r="A12" s="1" t="s">
        <v>8</v>
      </c>
      <c r="B12" s="12" t="s">
        <v>27</v>
      </c>
      <c r="C12" s="12" t="s">
        <v>28</v>
      </c>
      <c r="D12" s="13" t="str">
        <f aca="false">DEC2HEX(C12)</f>
        <v>7</v>
      </c>
      <c r="E12" s="1" t="s">
        <v>29</v>
      </c>
      <c r="G12" s="1" t="s">
        <v>30</v>
      </c>
    </row>
    <row collapsed="false" customFormat="false" customHeight="false" hidden="false" ht="15.75" outlineLevel="0" r="13">
      <c r="B13" s="9" t="s">
        <v>31</v>
      </c>
      <c r="C13" s="9"/>
      <c r="D13" s="13" t="str">
        <f aca="false">DEC2HEX(C13)</f>
        <v>0</v>
      </c>
    </row>
    <row collapsed="false" customFormat="false" customHeight="false" hidden="false" ht="15.75" outlineLevel="0" r="14">
      <c r="A14" s="1" t="s">
        <v>8</v>
      </c>
      <c r="B14" s="12" t="s">
        <v>32</v>
      </c>
      <c r="C14" s="12" t="s">
        <v>33</v>
      </c>
      <c r="D14" s="13" t="str">
        <f aca="false">DEC2HEX(C14)</f>
        <v>8</v>
      </c>
      <c r="E14" s="11" t="s">
        <v>34</v>
      </c>
      <c r="F14" s="11" t="s">
        <v>35</v>
      </c>
    </row>
    <row collapsed="false" customFormat="false" customHeight="false" hidden="false" ht="15.75" outlineLevel="0" r="15">
      <c r="A15" s="1" t="s">
        <v>8</v>
      </c>
      <c r="B15" s="12" t="s">
        <v>36</v>
      </c>
      <c r="C15" s="12" t="s">
        <v>37</v>
      </c>
      <c r="D15" s="13" t="str">
        <f aca="false">DEC2HEX(C15)</f>
        <v>9</v>
      </c>
      <c r="E15" s="11" t="s">
        <v>38</v>
      </c>
      <c r="F15" s="11" t="s">
        <v>39</v>
      </c>
    </row>
    <row collapsed="false" customFormat="false" customHeight="false" hidden="false" ht="15.75" outlineLevel="0" r="16">
      <c r="A16" s="1" t="s">
        <v>8</v>
      </c>
      <c r="B16" s="12" t="s">
        <v>40</v>
      </c>
      <c r="C16" s="12" t="s">
        <v>41</v>
      </c>
      <c r="D16" s="13" t="str">
        <f aca="false">DEC2HEX(C16)</f>
        <v>A</v>
      </c>
      <c r="E16" s="11" t="s">
        <v>42</v>
      </c>
      <c r="F16" s="11" t="s">
        <v>43</v>
      </c>
    </row>
    <row collapsed="false" customFormat="false" customHeight="false" hidden="false" ht="15.75" outlineLevel="0" r="17">
      <c r="A17" s="1" t="s">
        <v>8</v>
      </c>
      <c r="B17" s="12" t="s">
        <v>40</v>
      </c>
      <c r="C17" s="12" t="s">
        <v>41</v>
      </c>
      <c r="D17" s="13" t="str">
        <f aca="false">DEC2HEX(C17)</f>
        <v>A</v>
      </c>
      <c r="E17" s="1" t="s">
        <v>44</v>
      </c>
      <c r="F17" s="1" t="s">
        <v>45</v>
      </c>
    </row>
    <row collapsed="false" customFormat="false" customHeight="false" hidden="false" ht="15.75" outlineLevel="0" r="18">
      <c r="A18" s="1" t="s">
        <v>8</v>
      </c>
      <c r="B18" s="12" t="s">
        <v>46</v>
      </c>
      <c r="C18" s="12" t="s">
        <v>47</v>
      </c>
      <c r="D18" s="13" t="str">
        <f aca="false">DEC2HEX(C18)</f>
        <v>B</v>
      </c>
      <c r="E18" s="11" t="s">
        <v>48</v>
      </c>
      <c r="F18" s="11" t="s">
        <v>49</v>
      </c>
    </row>
    <row collapsed="false" customFormat="false" customHeight="false" hidden="false" ht="15.75" outlineLevel="0" r="19">
      <c r="A19" s="1" t="s">
        <v>8</v>
      </c>
      <c r="B19" s="12" t="s">
        <v>50</v>
      </c>
      <c r="C19" s="12" t="s">
        <v>51</v>
      </c>
      <c r="D19" s="13" t="str">
        <f aca="false">DEC2HEX(C19)</f>
        <v>C</v>
      </c>
      <c r="E19" s="11" t="s">
        <v>52</v>
      </c>
      <c r="F19" s="11" t="s">
        <v>53</v>
      </c>
    </row>
    <row collapsed="false" customFormat="false" customHeight="false" hidden="false" ht="15.75" outlineLevel="0" r="20">
      <c r="B20" s="9" t="s">
        <v>54</v>
      </c>
      <c r="C20" s="9"/>
      <c r="D20" s="13"/>
      <c r="E20" s="11"/>
      <c r="F20" s="11"/>
    </row>
    <row collapsed="false" customFormat="false" customHeight="false" hidden="false" ht="15.75" outlineLevel="0" r="21">
      <c r="A21" s="1" t="s">
        <v>8</v>
      </c>
      <c r="B21" s="12" t="s">
        <v>55</v>
      </c>
      <c r="C21" s="12" t="s">
        <v>56</v>
      </c>
      <c r="D21" s="13" t="str">
        <f aca="false">DEC2HEX(C21)</f>
        <v>D</v>
      </c>
      <c r="E21" s="11" t="s">
        <v>57</v>
      </c>
      <c r="F21" s="11" t="s">
        <v>58</v>
      </c>
    </row>
    <row collapsed="false" customFormat="false" customHeight="false" hidden="false" ht="15.75" outlineLevel="0" r="22">
      <c r="A22" s="1" t="s">
        <v>8</v>
      </c>
      <c r="B22" s="12" t="s">
        <v>59</v>
      </c>
      <c r="C22" s="12" t="s">
        <v>60</v>
      </c>
      <c r="D22" s="13" t="str">
        <f aca="false">DEC2HEX(C22)</f>
        <v>E</v>
      </c>
      <c r="E22" s="11" t="s">
        <v>61</v>
      </c>
      <c r="F22" s="11" t="s">
        <v>62</v>
      </c>
    </row>
    <row collapsed="false" customFormat="false" customHeight="false" hidden="false" ht="15.75" outlineLevel="0" r="23">
      <c r="A23" s="1" t="s">
        <v>8</v>
      </c>
      <c r="B23" s="12" t="s">
        <v>63</v>
      </c>
      <c r="C23" s="12" t="s">
        <v>64</v>
      </c>
      <c r="D23" s="13" t="str">
        <f aca="false">DEC2HEX(C23)</f>
        <v>F</v>
      </c>
      <c r="E23" s="11" t="s">
        <v>65</v>
      </c>
      <c r="F23" s="11" t="s">
        <v>66</v>
      </c>
      <c r="G23" s="11" t="s">
        <v>67</v>
      </c>
    </row>
    <row collapsed="false" customFormat="false" customHeight="false" hidden="false" ht="15.75" outlineLevel="0" r="24">
      <c r="B24" s="9" t="s">
        <v>68</v>
      </c>
      <c r="C24" s="9"/>
      <c r="D24" s="13"/>
      <c r="E24" s="11"/>
      <c r="F24" s="11"/>
      <c r="G24" s="11"/>
    </row>
    <row collapsed="false" customFormat="false" customHeight="false" hidden="false" ht="15.75" outlineLevel="0" r="25">
      <c r="A25" s="1" t="s">
        <v>8</v>
      </c>
      <c r="B25" s="12" t="s">
        <v>69</v>
      </c>
      <c r="C25" s="12" t="s">
        <v>70</v>
      </c>
      <c r="D25" s="13" t="str">
        <f aca="false">DEC2HEX(C25)</f>
        <v>0</v>
      </c>
      <c r="E25" s="11" t="s">
        <v>68</v>
      </c>
      <c r="F25" s="11" t="s">
        <v>71</v>
      </c>
    </row>
    <row collapsed="false" customFormat="false" customHeight="false" hidden="false" ht="15.75" outlineLevel="0" r="26">
      <c r="B26" s="12"/>
      <c r="C26" s="12"/>
      <c r="D26" s="13"/>
      <c r="E26" s="11"/>
      <c r="F26" s="11"/>
    </row>
    <row collapsed="false" customFormat="false" customHeight="false" hidden="false" ht="15.75" outlineLevel="0" r="27">
      <c r="B27" s="9" t="s">
        <v>72</v>
      </c>
      <c r="C27" s="9"/>
      <c r="D27" s="13"/>
      <c r="E27" s="11"/>
      <c r="F27" s="11"/>
      <c r="G27" s="11"/>
    </row>
    <row collapsed="false" customFormat="false" customHeight="false" hidden="false" ht="15.75" outlineLevel="0" r="28">
      <c r="A28" s="1" t="s">
        <v>73</v>
      </c>
      <c r="B28" s="12" t="n">
        <v>100010</v>
      </c>
      <c r="C28" s="12" t="s">
        <v>74</v>
      </c>
      <c r="D28" s="13" t="str">
        <f aca="false">DEC2HEX(C28)</f>
        <v>20</v>
      </c>
      <c r="E28" s="11" t="s">
        <v>75</v>
      </c>
      <c r="F28" s="11" t="s">
        <v>76</v>
      </c>
      <c r="G28" s="11" t="s">
        <v>77</v>
      </c>
    </row>
    <row collapsed="false" customFormat="false" customHeight="false" hidden="false" ht="15.75" outlineLevel="0" r="29">
      <c r="A29" s="1" t="s">
        <v>73</v>
      </c>
      <c r="B29" s="12" t="n">
        <v>100011</v>
      </c>
      <c r="C29" s="12" t="s">
        <v>78</v>
      </c>
      <c r="D29" s="13" t="str">
        <f aca="false">DEC2HEX(C29)</f>
        <v>21</v>
      </c>
      <c r="E29" s="11" t="s">
        <v>79</v>
      </c>
      <c r="F29" s="11" t="s">
        <v>80</v>
      </c>
      <c r="G29" s="11" t="s">
        <v>81</v>
      </c>
    </row>
    <row collapsed="false" customFormat="false" customHeight="false" hidden="false" ht="15.75" outlineLevel="0" r="30">
      <c r="B30" s="12"/>
      <c r="C30" s="12"/>
      <c r="D30" s="13"/>
      <c r="E30" s="11"/>
    </row>
    <row collapsed="false" customFormat="false" customHeight="false" hidden="false" ht="15.75" outlineLevel="0" r="31">
      <c r="D31" s="13"/>
    </row>
    <row collapsed="false" customFormat="false" customHeight="false" hidden="false" ht="18.75" outlineLevel="0" r="32">
      <c r="B32" s="4" t="s">
        <v>82</v>
      </c>
      <c r="C32" s="4"/>
      <c r="D32" s="13"/>
    </row>
    <row collapsed="false" customFormat="true" customHeight="false" hidden="false" ht="15.75" outlineLevel="0" r="33" s="5">
      <c r="A33" s="5" t="s">
        <v>1</v>
      </c>
      <c r="B33" s="6"/>
      <c r="C33" s="6"/>
      <c r="D33" s="13"/>
      <c r="E33" s="7"/>
      <c r="F33" s="7"/>
      <c r="G33" s="7"/>
    </row>
    <row collapsed="false" customFormat="true" customHeight="false" hidden="false" ht="15.75" outlineLevel="0" r="34" s="5">
      <c r="A34" s="5" t="s">
        <v>2</v>
      </c>
      <c r="B34" s="6" t="s">
        <v>3</v>
      </c>
      <c r="C34" s="6"/>
      <c r="D34" s="13"/>
      <c r="E34" s="7" t="s">
        <v>6</v>
      </c>
      <c r="F34" s="7"/>
      <c r="G34" s="7"/>
    </row>
    <row collapsed="false" customFormat="false" customHeight="false" hidden="false" ht="15.75" outlineLevel="0" r="35">
      <c r="B35" s="14" t="s">
        <v>83</v>
      </c>
      <c r="C35" s="14"/>
      <c r="D35" s="13"/>
    </row>
    <row collapsed="false" customFormat="false" customHeight="false" hidden="false" ht="15.75" outlineLevel="0" r="36">
      <c r="A36" s="1" t="s">
        <v>8</v>
      </c>
      <c r="B36" s="15" t="s">
        <v>84</v>
      </c>
      <c r="C36" s="15" t="s">
        <v>85</v>
      </c>
      <c r="D36" s="13" t="str">
        <f aca="false">DEC2HEX(C36)</f>
        <v>10</v>
      </c>
      <c r="E36" s="1" t="s">
        <v>86</v>
      </c>
      <c r="F36" s="1" t="s">
        <v>87</v>
      </c>
      <c r="G36" s="1" t="s">
        <v>88</v>
      </c>
    </row>
    <row collapsed="false" customFormat="false" customHeight="false" hidden="false" ht="15.75" outlineLevel="0" r="37">
      <c r="A37" s="1" t="s">
        <v>8</v>
      </c>
      <c r="B37" s="15" t="s">
        <v>89</v>
      </c>
      <c r="C37" s="15" t="s">
        <v>90</v>
      </c>
      <c r="D37" s="13" t="str">
        <f aca="false">DEC2HEX(C37)</f>
        <v>11</v>
      </c>
      <c r="E37" s="1" t="s">
        <v>91</v>
      </c>
      <c r="F37" s="1" t="s">
        <v>92</v>
      </c>
      <c r="G37" s="1" t="s">
        <v>93</v>
      </c>
    </row>
    <row collapsed="false" customFormat="false" customHeight="false" hidden="false" ht="15.75" outlineLevel="0" r="38">
      <c r="A38" s="1" t="s">
        <v>8</v>
      </c>
      <c r="B38" s="15" t="s">
        <v>94</v>
      </c>
      <c r="C38" s="15" t="s">
        <v>95</v>
      </c>
      <c r="D38" s="13" t="str">
        <f aca="false">DEC2HEX(C38)</f>
        <v>12</v>
      </c>
      <c r="E38" s="1" t="s">
        <v>96</v>
      </c>
      <c r="F38" s="1" t="s">
        <v>97</v>
      </c>
      <c r="G38" s="1" t="s">
        <v>98</v>
      </c>
    </row>
    <row collapsed="false" customFormat="false" customHeight="false" hidden="false" ht="15.75" outlineLevel="0" r="39">
      <c r="B39" s="14" t="s">
        <v>7</v>
      </c>
      <c r="C39" s="14"/>
      <c r="D39" s="13"/>
    </row>
    <row collapsed="false" customFormat="false" customHeight="false" hidden="false" ht="15.75" outlineLevel="0" r="40">
      <c r="A40" s="1" t="s">
        <v>73</v>
      </c>
      <c r="B40" s="15" t="s">
        <v>99</v>
      </c>
      <c r="C40" s="15" t="s">
        <v>100</v>
      </c>
      <c r="D40" s="13" t="str">
        <f aca="false">DEC2HEX(C40)</f>
        <v>22</v>
      </c>
      <c r="E40" s="1" t="s">
        <v>101</v>
      </c>
      <c r="F40" s="1" t="s">
        <v>102</v>
      </c>
      <c r="G40" s="1" t="s">
        <v>103</v>
      </c>
    </row>
    <row collapsed="false" customFormat="false" customHeight="false" hidden="false" ht="15.75" outlineLevel="0" r="41">
      <c r="A41" s="1" t="s">
        <v>73</v>
      </c>
      <c r="B41" s="15" t="s">
        <v>104</v>
      </c>
      <c r="C41" s="15" t="s">
        <v>105</v>
      </c>
      <c r="D41" s="13" t="str">
        <f aca="false">DEC2HEX(C41)</f>
        <v>23</v>
      </c>
      <c r="E41" s="1" t="s">
        <v>106</v>
      </c>
      <c r="F41" s="1" t="s">
        <v>107</v>
      </c>
      <c r="G41" s="1" t="s">
        <v>108</v>
      </c>
    </row>
    <row collapsed="false" customFormat="false" customHeight="false" hidden="false" ht="15.75" outlineLevel="0" r="42">
      <c r="A42" s="1" t="s">
        <v>73</v>
      </c>
      <c r="B42" s="15" t="s">
        <v>109</v>
      </c>
      <c r="C42" s="15" t="s">
        <v>110</v>
      </c>
      <c r="D42" s="13" t="str">
        <f aca="false">DEC2HEX(C42)</f>
        <v>24</v>
      </c>
      <c r="E42" s="1" t="s">
        <v>111</v>
      </c>
      <c r="G42" s="1" t="s">
        <v>112</v>
      </c>
    </row>
    <row collapsed="false" customFormat="false" customHeight="false" hidden="false" ht="15.75" outlineLevel="0" r="43">
      <c r="A43" s="1" t="s">
        <v>73</v>
      </c>
      <c r="B43" s="15" t="s">
        <v>113</v>
      </c>
      <c r="C43" s="15" t="s">
        <v>114</v>
      </c>
      <c r="D43" s="13" t="str">
        <f aca="false">DEC2HEX(C43)</f>
        <v>25</v>
      </c>
      <c r="E43" s="1" t="s">
        <v>115</v>
      </c>
    </row>
    <row collapsed="false" customFormat="false" customHeight="false" hidden="false" ht="15.75" outlineLevel="0" r="44">
      <c r="A44" s="1" t="s">
        <v>73</v>
      </c>
      <c r="B44" s="15" t="s">
        <v>116</v>
      </c>
      <c r="C44" s="15" t="s">
        <v>117</v>
      </c>
      <c r="D44" s="13" t="str">
        <f aca="false">DEC2HEX(C44)</f>
        <v>26</v>
      </c>
      <c r="E44" s="1" t="s">
        <v>118</v>
      </c>
    </row>
    <row collapsed="false" customFormat="false" customHeight="false" hidden="false" ht="15.75" outlineLevel="0" r="45">
      <c r="B45" s="14" t="s">
        <v>119</v>
      </c>
      <c r="C45" s="14"/>
      <c r="D45" s="13"/>
    </row>
    <row collapsed="false" customFormat="false" customHeight="false" hidden="false" ht="15.75" outlineLevel="0" r="46">
      <c r="A46" s="1" t="s">
        <v>73</v>
      </c>
      <c r="B46" s="15" t="s">
        <v>120</v>
      </c>
      <c r="C46" s="15" t="s">
        <v>121</v>
      </c>
      <c r="D46" s="13" t="str">
        <f aca="false">DEC2HEX(C46)</f>
        <v>27</v>
      </c>
      <c r="E46" s="1" t="s">
        <v>122</v>
      </c>
      <c r="F46" s="1" t="s">
        <v>123</v>
      </c>
      <c r="G46" s="1" t="s">
        <v>124</v>
      </c>
    </row>
    <row collapsed="false" customFormat="false" customHeight="false" hidden="false" ht="15.75" outlineLevel="0" r="47">
      <c r="A47" s="1" t="s">
        <v>73</v>
      </c>
      <c r="B47" s="15" t="s">
        <v>125</v>
      </c>
      <c r="C47" s="15" t="s">
        <v>126</v>
      </c>
      <c r="D47" s="13" t="str">
        <f aca="false">DEC2HEX(C47)</f>
        <v>28</v>
      </c>
      <c r="E47" s="1" t="s">
        <v>127</v>
      </c>
      <c r="F47" s="1" t="s">
        <v>128</v>
      </c>
    </row>
    <row collapsed="false" customFormat="false" customHeight="false" hidden="false" ht="15.75" outlineLevel="0" r="48">
      <c r="A48" s="1" t="s">
        <v>73</v>
      </c>
      <c r="B48" s="15" t="s">
        <v>129</v>
      </c>
      <c r="C48" s="15" t="s">
        <v>130</v>
      </c>
      <c r="D48" s="13" t="str">
        <f aca="false">DEC2HEX(C48)</f>
        <v>29</v>
      </c>
      <c r="E48" s="1" t="s">
        <v>131</v>
      </c>
      <c r="F48" s="1" t="s">
        <v>132</v>
      </c>
      <c r="G48" s="1" t="s">
        <v>133</v>
      </c>
    </row>
    <row collapsed="false" customFormat="false" customHeight="false" hidden="false" ht="15.75" outlineLevel="0" r="49">
      <c r="B49" s="14" t="s">
        <v>134</v>
      </c>
      <c r="C49" s="14"/>
      <c r="D49" s="13"/>
    </row>
    <row collapsed="false" customFormat="false" customHeight="false" hidden="false" ht="15.75" outlineLevel="0" r="50">
      <c r="A50" s="1" t="s">
        <v>73</v>
      </c>
      <c r="B50" s="15" t="s">
        <v>135</v>
      </c>
      <c r="C50" s="15" t="s">
        <v>136</v>
      </c>
      <c r="D50" s="13" t="str">
        <f aca="false">DEC2HEX(C50)</f>
        <v>2A</v>
      </c>
      <c r="E50" s="1" t="s">
        <v>137</v>
      </c>
      <c r="F50" s="1" t="s">
        <v>138</v>
      </c>
      <c r="G50" s="1" t="s">
        <v>139</v>
      </c>
    </row>
    <row collapsed="false" customFormat="false" customHeight="false" hidden="false" ht="15.75" outlineLevel="0" r="51">
      <c r="A51" s="1" t="s">
        <v>73</v>
      </c>
      <c r="B51" s="15" t="s">
        <v>140</v>
      </c>
      <c r="C51" s="15" t="s">
        <v>141</v>
      </c>
      <c r="D51" s="13" t="str">
        <f aca="false">DEC2HEX(C51)</f>
        <v>2B</v>
      </c>
      <c r="E51" s="1" t="s">
        <v>142</v>
      </c>
      <c r="F51" s="1" t="s">
        <v>143</v>
      </c>
      <c r="G51" s="1" t="s">
        <v>144</v>
      </c>
    </row>
    <row collapsed="false" customFormat="false" customHeight="false" hidden="false" ht="15.75" outlineLevel="0" r="52">
      <c r="A52" s="1" t="s">
        <v>73</v>
      </c>
      <c r="B52" s="15" t="s">
        <v>145</v>
      </c>
      <c r="C52" s="15" t="s">
        <v>146</v>
      </c>
      <c r="D52" s="13" t="str">
        <f aca="false">DEC2HEX(C52)</f>
        <v>2C</v>
      </c>
      <c r="E52" s="1" t="s">
        <v>147</v>
      </c>
      <c r="F52" s="1" t="s">
        <v>148</v>
      </c>
      <c r="G52" s="1" t="s">
        <v>149</v>
      </c>
    </row>
    <row collapsed="false" customFormat="false" customHeight="false" hidden="false" ht="15.75" outlineLevel="0" r="53">
      <c r="A53" s="1" t="s">
        <v>73</v>
      </c>
      <c r="B53" s="15" t="s">
        <v>150</v>
      </c>
      <c r="C53" s="15" t="s">
        <v>151</v>
      </c>
      <c r="D53" s="13" t="str">
        <f aca="false">DEC2HEX(C53)</f>
        <v>2D</v>
      </c>
      <c r="E53" s="1" t="s">
        <v>152</v>
      </c>
      <c r="F53" s="1" t="s">
        <v>153</v>
      </c>
      <c r="G53" s="1" t="s">
        <v>154</v>
      </c>
    </row>
    <row collapsed="false" customFormat="false" customHeight="false" hidden="false" ht="15.75" outlineLevel="0" r="54">
      <c r="B54" s="14" t="s">
        <v>155</v>
      </c>
      <c r="C54" s="14"/>
      <c r="D54" s="13"/>
    </row>
    <row collapsed="false" customFormat="false" customHeight="false" hidden="false" ht="15.75" outlineLevel="0" r="55">
      <c r="A55" s="1" t="s">
        <v>156</v>
      </c>
      <c r="B55" s="15" t="s">
        <v>157</v>
      </c>
      <c r="C55" s="15" t="s">
        <v>158</v>
      </c>
      <c r="D55" s="13" t="str">
        <f aca="false">DEC2HEX(C55)</f>
        <v>40</v>
      </c>
      <c r="E55" s="1" t="s">
        <v>159</v>
      </c>
      <c r="F55" s="1" t="s">
        <v>160</v>
      </c>
      <c r="G55" s="1" t="s">
        <v>161</v>
      </c>
    </row>
    <row collapsed="false" customFormat="false" customHeight="false" hidden="false" ht="15.75" outlineLevel="0" r="56">
      <c r="A56" s="1" t="s">
        <v>156</v>
      </c>
      <c r="B56" s="15" t="s">
        <v>162</v>
      </c>
      <c r="C56" s="15" t="s">
        <v>163</v>
      </c>
      <c r="D56" s="13" t="str">
        <f aca="false">DEC2HEX(C56)</f>
        <v>41</v>
      </c>
      <c r="E56" s="1" t="s">
        <v>164</v>
      </c>
      <c r="F56" s="1" t="s">
        <v>165</v>
      </c>
      <c r="G56" s="1" t="s">
        <v>166</v>
      </c>
    </row>
  </sheetData>
  <printOptions headings="false" gridLines="false" gridLinesSet="true" horizontalCentered="false" verticalCentered="false"/>
  <pageMargins left="0.75" right="0.75" top="1" bottom="1"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CD152"/>
  <sheetViews>
    <sheetView colorId="64" defaultGridColor="true" rightToLeft="false" showFormulas="false" showGridLines="true" showOutlineSymbols="true" showRowColHeaders="true" showZeros="true" tabSelected="false" topLeftCell="A25" view="normal" windowProtection="false" workbookViewId="0" zoomScale="95" zoomScaleNormal="95" zoomScalePageLayoutView="100">
      <selection activeCell="D40" activeCellId="0" pane="topLeft" sqref="D40"/>
    </sheetView>
  </sheetViews>
  <sheetFormatPr defaultRowHeight="15.75"/>
  <cols>
    <col collapsed="false" hidden="false" max="1" min="1" style="0" width="15.1302325581395"/>
    <col collapsed="false" hidden="false" max="2" min="2" style="0" width="34.8744186046512"/>
    <col collapsed="false" hidden="false" max="3" min="3" style="0" width="15.1302325581395"/>
    <col collapsed="false" hidden="false" max="4" min="4" style="0" width="20.3813953488372"/>
    <col collapsed="false" hidden="false" max="10" min="5" style="0" width="15.1302325581395"/>
    <col collapsed="false" hidden="false" max="11" min="11" style="0" width="18.7441860465116"/>
    <col collapsed="false" hidden="false" max="12" min="12" style="0" width="26"/>
    <col collapsed="false" hidden="false" max="13" min="13" style="0" width="15.1302325581395"/>
    <col collapsed="false" hidden="false" max="14" min="14" style="0" width="19.2558139534884"/>
    <col collapsed="false" hidden="false" max="17" min="15" style="0" width="15.1302325581395"/>
    <col collapsed="false" hidden="false" max="18" min="18" style="0" width="15.6186046511628"/>
    <col collapsed="false" hidden="false" max="1025" min="19" style="0" width="15.1302325581395"/>
  </cols>
  <sheetData>
    <row collapsed="false" customFormat="false" customHeight="false" hidden="false" ht="29.85" outlineLevel="0" r="1">
      <c r="A1" s="16" t="s">
        <v>167</v>
      </c>
      <c r="B1" s="16" t="s">
        <v>168</v>
      </c>
      <c r="C1" s="16"/>
      <c r="D1" s="16" t="s">
        <v>169</v>
      </c>
      <c r="E1" s="16" t="s">
        <v>170</v>
      </c>
      <c r="F1" s="16"/>
      <c r="G1" s="16"/>
      <c r="H1" s="17"/>
      <c r="I1" s="17"/>
      <c r="J1" s="17"/>
      <c r="K1" s="17"/>
      <c r="L1" s="17" t="s">
        <v>171</v>
      </c>
      <c r="M1" s="18"/>
      <c r="N1" s="18"/>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row>
    <row collapsed="false" customFormat="false" customHeight="false" hidden="false" ht="15.25" outlineLevel="0" r="2">
      <c r="A2" s="16"/>
      <c r="B2" s="16" t="s">
        <v>172</v>
      </c>
      <c r="C2" s="16"/>
      <c r="D2" s="16"/>
      <c r="E2" s="16" t="s">
        <v>173</v>
      </c>
      <c r="F2" s="16" t="s">
        <v>2</v>
      </c>
      <c r="G2" s="16" t="s">
        <v>174</v>
      </c>
      <c r="H2" s="16" t="s">
        <v>175</v>
      </c>
      <c r="I2" s="17" t="s">
        <v>176</v>
      </c>
      <c r="J2" s="17" t="s">
        <v>177</v>
      </c>
      <c r="K2" s="17"/>
      <c r="L2" s="17"/>
      <c r="M2" s="18"/>
      <c r="N2" s="18"/>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row>
    <row collapsed="false" customFormat="false" customHeight="false" hidden="false" ht="15.75" outlineLevel="0" r="3">
      <c r="A3" s="16"/>
      <c r="B3" s="16"/>
      <c r="C3" s="16"/>
      <c r="D3" s="16"/>
      <c r="E3" s="16" t="s">
        <v>178</v>
      </c>
      <c r="F3" s="16" t="s">
        <v>2</v>
      </c>
      <c r="G3" s="16" t="s">
        <v>174</v>
      </c>
      <c r="H3" s="16" t="s">
        <v>175</v>
      </c>
      <c r="I3" s="17" t="s">
        <v>176</v>
      </c>
      <c r="J3" s="17"/>
      <c r="K3" s="17" t="s">
        <v>179</v>
      </c>
      <c r="L3" s="17" t="str">
        <f aca="false">"-"&amp;2^15&amp;"&lt;VAL&lt;"&amp;2^16</f>
        <v>-32768&lt;VAL&lt;65536</v>
      </c>
      <c r="M3" s="18"/>
      <c r="N3" s="18"/>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row>
    <row collapsed="false" customFormat="false" customHeight="false" hidden="false" ht="15.75" outlineLevel="0" r="4">
      <c r="A4" s="16"/>
      <c r="B4" s="16"/>
      <c r="C4" s="16"/>
      <c r="D4" s="16"/>
      <c r="E4" s="16" t="s">
        <v>180</v>
      </c>
      <c r="F4" s="16" t="s">
        <v>2</v>
      </c>
      <c r="G4" s="16" t="s">
        <v>174</v>
      </c>
      <c r="H4" s="16"/>
      <c r="I4" s="17"/>
      <c r="J4" s="17"/>
      <c r="K4" s="17" t="s">
        <v>179</v>
      </c>
      <c r="L4" s="17" t="str">
        <f aca="false">"-"&amp;2^24&amp;"&lt;VAL&lt;"&amp;2^25</f>
        <v>-16777216&lt;VAL&lt;33554432</v>
      </c>
      <c r="M4" s="18"/>
      <c r="N4" s="18"/>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row>
    <row collapsed="false" customFormat="false" customHeight="false" hidden="false" ht="32.25" outlineLevel="0" r="5">
      <c r="A5" s="16"/>
      <c r="B5" s="16"/>
      <c r="C5" s="16"/>
      <c r="D5" s="16"/>
      <c r="E5" s="16"/>
      <c r="F5" s="16"/>
      <c r="G5" s="16"/>
      <c r="H5" s="17"/>
      <c r="I5" s="17"/>
      <c r="J5" s="17"/>
      <c r="L5" s="17"/>
      <c r="M5" s="20"/>
      <c r="N5" s="20"/>
      <c r="O5" s="18" t="s">
        <v>181</v>
      </c>
      <c r="P5" s="16" t="s">
        <v>182</v>
      </c>
      <c r="Q5" s="16" t="s">
        <v>183</v>
      </c>
      <c r="R5" s="16" t="s">
        <v>184</v>
      </c>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row>
    <row collapsed="false" customFormat="false" customHeight="false" hidden="false" ht="32.25" outlineLevel="0" r="6">
      <c r="A6" s="21" t="s">
        <v>185</v>
      </c>
      <c r="B6" s="22" t="s">
        <v>186</v>
      </c>
      <c r="C6" s="23" t="s">
        <v>187</v>
      </c>
      <c r="D6" s="24" t="s">
        <v>188</v>
      </c>
      <c r="E6" s="24" t="s">
        <v>189</v>
      </c>
      <c r="F6" s="24" t="s">
        <v>190</v>
      </c>
      <c r="G6" s="24" t="s">
        <v>185</v>
      </c>
      <c r="H6" s="24" t="s">
        <v>191</v>
      </c>
      <c r="I6" s="24" t="s">
        <v>192</v>
      </c>
      <c r="J6" s="24" t="s">
        <v>193</v>
      </c>
      <c r="K6" s="24" t="s">
        <v>194</v>
      </c>
      <c r="L6" s="24" t="s">
        <v>195</v>
      </c>
      <c r="M6" s="24" t="s">
        <v>196</v>
      </c>
      <c r="N6" s="24" t="s">
        <v>197</v>
      </c>
      <c r="O6" s="25" t="s">
        <v>198</v>
      </c>
      <c r="P6" s="26" t="s">
        <v>199</v>
      </c>
      <c r="Q6" s="27" t="s">
        <v>200</v>
      </c>
      <c r="R6" s="26" t="s">
        <v>201</v>
      </c>
      <c r="S6" s="27" t="s">
        <v>202</v>
      </c>
      <c r="T6" s="26" t="s">
        <v>203</v>
      </c>
      <c r="U6" s="26" t="s">
        <v>204</v>
      </c>
      <c r="V6" s="26" t="s">
        <v>205</v>
      </c>
      <c r="W6" s="26" t="s">
        <v>206</v>
      </c>
      <c r="X6" s="26" t="s">
        <v>207</v>
      </c>
      <c r="Y6" s="26" t="s">
        <v>208</v>
      </c>
      <c r="Z6" s="26" t="s">
        <v>209</v>
      </c>
      <c r="AA6" s="26" t="s">
        <v>210</v>
      </c>
      <c r="AB6" s="26" t="s">
        <v>211</v>
      </c>
      <c r="AC6" s="26" t="s">
        <v>212</v>
      </c>
      <c r="AD6" s="26" t="s">
        <v>213</v>
      </c>
      <c r="AE6" s="26" t="s">
        <v>214</v>
      </c>
      <c r="AF6" s="26" t="s">
        <v>215</v>
      </c>
      <c r="AG6" s="26" t="s">
        <v>216</v>
      </c>
      <c r="AH6" s="26" t="s">
        <v>217</v>
      </c>
      <c r="AI6" s="26" t="s">
        <v>218</v>
      </c>
      <c r="AJ6" s="26" t="s">
        <v>219</v>
      </c>
      <c r="AK6" s="26" t="s">
        <v>220</v>
      </c>
      <c r="AL6" s="26" t="s">
        <v>221</v>
      </c>
      <c r="AM6" s="26" t="s">
        <v>222</v>
      </c>
      <c r="AN6" s="26" t="s">
        <v>223</v>
      </c>
      <c r="AO6" s="26" t="s">
        <v>224</v>
      </c>
      <c r="AP6" s="26" t="s">
        <v>225</v>
      </c>
      <c r="AQ6" s="26" t="s">
        <v>226</v>
      </c>
      <c r="AR6" s="26" t="s">
        <v>227</v>
      </c>
      <c r="AS6" s="26" t="s">
        <v>228</v>
      </c>
      <c r="AT6" s="26" t="s">
        <v>229</v>
      </c>
      <c r="AU6" s="26" t="s">
        <v>230</v>
      </c>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row>
    <row collapsed="false" customFormat="false" customHeight="false" hidden="false" ht="29.85" outlineLevel="0" r="7">
      <c r="A7" s="22" t="str">
        <f aca="false">IF(AND(F7="B",IF(OR(G7="LD",G7="LDU",G7="ADD",G7="SUB",G7="AND",G7="OR",G7="XOR"),1,0)),CONCATENATE(G7,"#"),G7)</f>
        <v>NOP</v>
      </c>
      <c r="B7" s="26" t="s">
        <v>231</v>
      </c>
      <c r="C7" s="26" t="s">
        <v>232</v>
      </c>
      <c r="D7" s="24" t="str">
        <f aca="false">IF(F7="A",CONCATENATE(F7," ",G7," R",H7,",R",I7,",R",J7),IF(F7="B",CONCATENATE(F7," ",G7," R",H7,",R",I7,",",K7),CONCATENATE(F7," ",G7," ",K7)))</f>
        <v>B NOP R0,R0,-</v>
      </c>
      <c r="E7" s="29"/>
      <c r="F7" s="30" t="s">
        <v>233</v>
      </c>
      <c r="G7" s="30" t="s">
        <v>68</v>
      </c>
      <c r="H7" s="31" t="n">
        <v>0</v>
      </c>
      <c r="I7" s="31" t="n">
        <v>0</v>
      </c>
      <c r="J7" s="31" t="n">
        <v>0</v>
      </c>
      <c r="K7" s="32" t="s">
        <v>231</v>
      </c>
      <c r="L7" s="32" t="s">
        <v>231</v>
      </c>
      <c r="M7" s="33" t="n">
        <v>0</v>
      </c>
      <c r="N7" s="24"/>
      <c r="O7" s="34" t="n">
        <f aca="false">0</f>
        <v>0</v>
      </c>
      <c r="P7" s="34"/>
      <c r="Q7" s="24"/>
      <c r="R7" s="24"/>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27"/>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row>
    <row collapsed="false" customFormat="false" customHeight="false" hidden="false" ht="16.5" outlineLevel="0" r="8">
      <c r="A8" s="30" t="str">
        <f aca="false">IF(AND(F8="B",IF(OR(G8="LD",G8="LDU",G8="ADD",G8="SUB",G8="AND",G8="OR",G8="XOR"),1,0)),CONCATENATE(G8,"#"),G8)</f>
        <v>LDU#</v>
      </c>
      <c r="B8" s="24" t="str">
        <f aca="false">"R["&amp;H8&amp;"] &lt;= "&amp;K8</f>
        <v>R[1] &lt;= 1</v>
      </c>
      <c r="C8" s="24" t="s">
        <v>234</v>
      </c>
      <c r="D8" s="36" t="str">
        <f aca="false">IF(F8="A",CONCATENATE(F8," ",G8," R",H8,",R",I8,",R",J8),IF(F8="B",CONCATENATE(F8," ",G8," R",H8,",R",I8,",",K8),CONCATENATE(F8," ",G8," ",K8)))</f>
        <v>B LDU R1,R0,1</v>
      </c>
      <c r="E8" s="37"/>
      <c r="F8" s="38" t="s">
        <v>233</v>
      </c>
      <c r="G8" s="39" t="s">
        <v>235</v>
      </c>
      <c r="H8" s="40" t="n">
        <v>1</v>
      </c>
      <c r="I8" s="40" t="n">
        <v>0</v>
      </c>
      <c r="J8" s="40" t="s">
        <v>231</v>
      </c>
      <c r="K8" s="41" t="n">
        <v>1</v>
      </c>
      <c r="L8" s="42" t="str">
        <f aca="false">RIGHT(DEC2HEX(K8,10),8)</f>
        <v>00000001</v>
      </c>
      <c r="M8" s="43" t="n">
        <f aca="false">M7+1</f>
        <v>1</v>
      </c>
      <c r="N8" s="44"/>
      <c r="O8" s="24" t="n">
        <f aca="false">O7</f>
        <v>0</v>
      </c>
      <c r="P8" s="45" t="str">
        <f aca="false">L8</f>
        <v>00000001</v>
      </c>
      <c r="Q8" s="31"/>
      <c r="R8" s="31"/>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36"/>
      <c r="AV8" s="46"/>
      <c r="AW8" s="46"/>
      <c r="AX8" s="46"/>
      <c r="AY8" s="46"/>
      <c r="AZ8" s="46"/>
      <c r="BA8" s="46"/>
      <c r="BB8" s="46"/>
      <c r="BC8" s="46"/>
      <c r="BD8" s="46"/>
      <c r="BE8" s="46"/>
      <c r="BF8" s="46"/>
      <c r="BG8" s="46"/>
      <c r="BH8" s="46"/>
      <c r="BI8" s="46"/>
      <c r="BJ8" s="46"/>
      <c r="BK8" s="46"/>
      <c r="BL8" s="46"/>
      <c r="BM8" s="46"/>
      <c r="BN8" s="46"/>
      <c r="BO8" s="46"/>
      <c r="BP8" s="46"/>
      <c r="BQ8" s="46"/>
      <c r="BR8" s="46"/>
      <c r="BS8" s="46"/>
      <c r="BT8" s="46"/>
      <c r="BU8" s="46"/>
      <c r="BV8" s="46"/>
      <c r="BW8" s="46"/>
      <c r="BX8" s="46"/>
      <c r="BY8" s="46"/>
      <c r="BZ8" s="46"/>
      <c r="CA8" s="46"/>
      <c r="CB8" s="46"/>
      <c r="CC8" s="46"/>
      <c r="CD8" s="46"/>
    </row>
    <row collapsed="false" customFormat="false" customHeight="false" hidden="false" ht="17.25" outlineLevel="0" r="9">
      <c r="A9" s="43" t="str">
        <f aca="false">IF(AND(F9="B",IF(OR(G9="LD",G9="LDU",G9="ADD",G9="SUB",G9="AND",G9="OR",G9="XOR"),1,0)),CONCATENATE(G9,"#"),G9)</f>
        <v>LDU#</v>
      </c>
      <c r="B9" s="24" t="str">
        <f aca="false">"R["&amp;H9&amp;"] &lt;= "&amp;K9</f>
        <v>R[2] &lt;= 2</v>
      </c>
      <c r="C9" s="24" t="s">
        <v>231</v>
      </c>
      <c r="D9" s="27" t="str">
        <f aca="false">IF(F9="A",CONCATENATE(F9," ",G9," R",H9,",R",I9,",R",J9),IF(F9="B",CONCATENATE(F9," ",G9," R",H9,",R",I9,",",K9),CONCATENATE(F9," ",G9," ",K9)))</f>
        <v>B LDU R2,R0,2</v>
      </c>
      <c r="E9" s="29"/>
      <c r="F9" s="24" t="s">
        <v>233</v>
      </c>
      <c r="G9" s="24" t="str">
        <f aca="false">IF(K9&gt;=0,"LDU","LD")</f>
        <v>LDU</v>
      </c>
      <c r="H9" s="31" t="n">
        <v>2</v>
      </c>
      <c r="I9" s="31" t="n">
        <v>0</v>
      </c>
      <c r="J9" s="31" t="s">
        <v>231</v>
      </c>
      <c r="K9" s="31" t="n">
        <v>2</v>
      </c>
      <c r="L9" s="47" t="str">
        <f aca="false">RIGHT(DEC2HEX(K9,10),8)</f>
        <v>00000002</v>
      </c>
      <c r="M9" s="24" t="n">
        <f aca="false">M8+1</f>
        <v>2</v>
      </c>
      <c r="N9" s="48"/>
      <c r="O9" s="24" t="n">
        <f aca="false">O8</f>
        <v>0</v>
      </c>
      <c r="P9" s="49" t="str">
        <f aca="false">P8</f>
        <v>00000001</v>
      </c>
      <c r="Q9" s="50" t="str">
        <f aca="false">L9</f>
        <v>00000002</v>
      </c>
      <c r="R9" s="31"/>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36"/>
      <c r="AV9" s="46"/>
      <c r="AW9" s="46"/>
      <c r="AX9" s="46"/>
      <c r="AY9" s="46"/>
      <c r="AZ9" s="46"/>
      <c r="BA9" s="46"/>
      <c r="BB9" s="46"/>
      <c r="BC9" s="46"/>
      <c r="BD9" s="46"/>
      <c r="BE9" s="46"/>
      <c r="BF9" s="46"/>
      <c r="BG9" s="46"/>
      <c r="BH9" s="46"/>
      <c r="BI9" s="46"/>
      <c r="BJ9" s="46"/>
      <c r="BK9" s="46"/>
      <c r="BL9" s="46"/>
      <c r="BM9" s="46"/>
      <c r="BN9" s="46"/>
      <c r="BO9" s="46"/>
      <c r="BP9" s="46"/>
      <c r="BQ9" s="46"/>
      <c r="BR9" s="46"/>
      <c r="BS9" s="46"/>
      <c r="BT9" s="46"/>
      <c r="BU9" s="46"/>
      <c r="BV9" s="46"/>
      <c r="BW9" s="46"/>
      <c r="BX9" s="46"/>
      <c r="BY9" s="46"/>
      <c r="BZ9" s="46"/>
      <c r="CA9" s="46"/>
      <c r="CB9" s="46"/>
      <c r="CC9" s="46"/>
      <c r="CD9" s="46"/>
    </row>
    <row collapsed="false" customFormat="false" customHeight="false" hidden="false" ht="86.55" outlineLevel="0" r="10">
      <c r="A10" s="39" t="str">
        <f aca="false">IF(AND(F10="B",IF(OR(G10="LD",G10="LDU",G10="ADD",G10="SUB",G10="AND",G10="OR",G10="XOR"),1,0)),CONCATENATE(G10,"#"),G10)</f>
        <v>ADD</v>
      </c>
      <c r="B10" s="24" t="str">
        <f aca="false">"R["&amp;H10&amp;"] &lt;= R["&amp;I10&amp;"] + R["&amp;J10&amp;"]"</f>
        <v>R[3] &lt;= R[1] + R[2]</v>
      </c>
      <c r="C10" s="24" t="s">
        <v>236</v>
      </c>
      <c r="D10" s="27" t="str">
        <f aca="false">IF(F10="A",CONCATENATE(F10," ",G10," R",H10,",R",I10,",R",J10),IF(F10="B",CONCATENATE(F10," ",G10," R",H10,",R",I10,",",K10),CONCATENATE(F10," ",G10," ",K10)))</f>
        <v>A ADD R3,R1,R2</v>
      </c>
      <c r="E10" s="29"/>
      <c r="F10" s="30" t="s">
        <v>237</v>
      </c>
      <c r="G10" s="30" t="s">
        <v>11</v>
      </c>
      <c r="H10" s="31" t="n">
        <v>3</v>
      </c>
      <c r="I10" s="31" t="n">
        <v>1</v>
      </c>
      <c r="J10" s="31" t="n">
        <v>2</v>
      </c>
      <c r="K10" s="31" t="s">
        <v>231</v>
      </c>
      <c r="L10" s="51" t="s">
        <v>231</v>
      </c>
      <c r="M10" s="24" t="n">
        <f aca="false">M9+1</f>
        <v>3</v>
      </c>
      <c r="N10" s="48"/>
      <c r="O10" s="24" t="n">
        <f aca="false">O9</f>
        <v>0</v>
      </c>
      <c r="P10" s="49" t="str">
        <f aca="false">P9</f>
        <v>00000001</v>
      </c>
      <c r="Q10" s="31" t="str">
        <f aca="false">Q9</f>
        <v>00000002</v>
      </c>
      <c r="R10" s="52" t="str">
        <f aca="false">DEC2HEX(HEX2DEC(P10)+HEX2DEC(Q10))</f>
        <v>3</v>
      </c>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3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row>
    <row collapsed="false" customFormat="false" customHeight="false" hidden="false" ht="16.5" outlineLevel="0" r="11">
      <c r="A11" s="30" t="str">
        <f aca="false">IF(AND(F11="B",IF(OR(G11="LD",G11="LDU",G11="ADD",G11="SUB",G11="AND",G11="OR",G11="XOR"),1,0)),CONCATENATE(G11,"#"),G11)</f>
        <v>LD#</v>
      </c>
      <c r="B11" s="24" t="str">
        <f aca="false">"R["&amp;H11&amp;"] &lt;= "&amp;K11</f>
        <v>R[1] &lt;= -3</v>
      </c>
      <c r="C11" s="24" t="s">
        <v>238</v>
      </c>
      <c r="D11" s="34" t="str">
        <f aca="false">IF(F11="A",CONCATENATE(F11," ",G11," R",H11,",R",I11,",R",J11),IF(F11="B",CONCATENATE(F11," ",G11," R",H11,",R",I11,",",K11),CONCATENATE(F11," ",G11," ",K11)))</f>
        <v>B LD R1,R0,-3</v>
      </c>
      <c r="E11" s="29"/>
      <c r="F11" s="53" t="s">
        <v>233</v>
      </c>
      <c r="G11" s="30" t="s">
        <v>239</v>
      </c>
      <c r="H11" s="31" t="n">
        <v>1</v>
      </c>
      <c r="I11" s="31" t="n">
        <v>0</v>
      </c>
      <c r="J11" s="31" t="s">
        <v>231</v>
      </c>
      <c r="K11" s="32" t="n">
        <v>-3</v>
      </c>
      <c r="L11" s="54" t="str">
        <f aca="false">RIGHT(DEC2HEX(K11,10),8)</f>
        <v>FFFFFFFD</v>
      </c>
      <c r="M11" s="24" t="n">
        <f aca="false">M10+1</f>
        <v>4</v>
      </c>
      <c r="N11" s="48"/>
      <c r="O11" s="24" t="n">
        <f aca="false">O10</f>
        <v>0</v>
      </c>
      <c r="P11" s="55" t="str">
        <f aca="false">L11</f>
        <v>FFFFFFFD</v>
      </c>
      <c r="Q11" s="31"/>
      <c r="R11" s="31"/>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36"/>
      <c r="AV11" s="46"/>
      <c r="AW11" s="46"/>
      <c r="AX11" s="46"/>
      <c r="AY11" s="46"/>
      <c r="AZ11" s="46"/>
      <c r="BA11" s="46"/>
      <c r="BB11" s="46"/>
      <c r="BC11" s="46"/>
      <c r="BD11" s="46"/>
      <c r="BE11" s="46"/>
      <c r="BF11" s="46"/>
      <c r="BG11" s="46"/>
      <c r="BH11" s="46"/>
      <c r="BI11" s="46"/>
      <c r="BJ11" s="46"/>
      <c r="BK11" s="46"/>
      <c r="BL11" s="46"/>
      <c r="BM11" s="46"/>
      <c r="BN11" s="46"/>
      <c r="BO11" s="46"/>
      <c r="BP11" s="46"/>
      <c r="BQ11" s="46"/>
      <c r="BR11" s="46"/>
      <c r="BS11" s="46"/>
      <c r="BT11" s="46"/>
      <c r="BU11" s="46"/>
      <c r="BV11" s="46"/>
      <c r="BW11" s="46"/>
      <c r="BX11" s="46"/>
      <c r="BY11" s="46"/>
      <c r="BZ11" s="46"/>
      <c r="CA11" s="46"/>
      <c r="CB11" s="46"/>
      <c r="CC11" s="46"/>
      <c r="CD11" s="46"/>
    </row>
    <row collapsed="false" customFormat="false" customHeight="false" hidden="false" ht="17.25" outlineLevel="0" r="12">
      <c r="A12" s="43" t="str">
        <f aca="false">IF(AND(F12="B",IF(OR(G12="LD",G12="LDU",G12="ADD",G12="SUB",G12="AND",G12="OR",G12="XOR"),1,0)),CONCATENATE(G12,"#"),G12)</f>
        <v>LD#</v>
      </c>
      <c r="B12" s="24" t="str">
        <f aca="false">"R["&amp;H12&amp;"] &lt;= "&amp;K12</f>
        <v>R[2] &lt;= -3</v>
      </c>
      <c r="C12" s="24" t="s">
        <v>231</v>
      </c>
      <c r="D12" s="34" t="str">
        <f aca="false">IF(F12="A",CONCATENATE(F12," ",G12," R",H12,",R",I12,",R",J12),IF(F12="B",CONCATENATE(F12," ",G12," R",H12,",R",I12,",",K12),CONCATENATE(F12," ",G12," ",K12)))</f>
        <v>B LD R2,R0,-3</v>
      </c>
      <c r="E12" s="29"/>
      <c r="F12" s="24" t="s">
        <v>233</v>
      </c>
      <c r="G12" s="24" t="str">
        <f aca="false">IF(K12&gt;=0,"LDU","LD")</f>
        <v>LD</v>
      </c>
      <c r="H12" s="31" t="n">
        <v>2</v>
      </c>
      <c r="I12" s="31" t="n">
        <v>0</v>
      </c>
      <c r="J12" s="31" t="s">
        <v>231</v>
      </c>
      <c r="K12" s="31" t="n">
        <v>-3</v>
      </c>
      <c r="L12" s="47" t="str">
        <f aca="false">RIGHT(DEC2HEX(K12,10),8)</f>
        <v>FFFFFFFD</v>
      </c>
      <c r="M12" s="24" t="n">
        <f aca="false">M11+1</f>
        <v>5</v>
      </c>
      <c r="N12" s="48"/>
      <c r="O12" s="24" t="n">
        <f aca="false">O11</f>
        <v>0</v>
      </c>
      <c r="P12" s="49" t="str">
        <f aca="false">P11</f>
        <v>FFFFFFFD</v>
      </c>
      <c r="Q12" s="50" t="str">
        <f aca="false">L12</f>
        <v>FFFFFFFD</v>
      </c>
      <c r="R12" s="31"/>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36"/>
      <c r="AV12" s="46"/>
      <c r="AW12" s="46"/>
      <c r="AX12" s="46"/>
      <c r="AY12" s="46"/>
      <c r="AZ12" s="46"/>
      <c r="BA12" s="46"/>
      <c r="BB12" s="46"/>
      <c r="BC12" s="46"/>
      <c r="BD12" s="46"/>
      <c r="BE12" s="46"/>
      <c r="BF12" s="46"/>
      <c r="BG12" s="46"/>
      <c r="BH12" s="46"/>
      <c r="BI12" s="46"/>
      <c r="BJ12" s="46"/>
      <c r="BK12" s="46"/>
      <c r="BL12" s="46"/>
      <c r="BM12" s="46"/>
      <c r="BN12" s="46"/>
      <c r="BO12" s="46"/>
      <c r="BP12" s="46"/>
      <c r="BQ12" s="46"/>
      <c r="BR12" s="46"/>
      <c r="BS12" s="46"/>
      <c r="BT12" s="46"/>
      <c r="BU12" s="46"/>
      <c r="BV12" s="46"/>
      <c r="BW12" s="46"/>
      <c r="BX12" s="46"/>
      <c r="BY12" s="46"/>
      <c r="BZ12" s="46"/>
      <c r="CA12" s="46"/>
      <c r="CB12" s="46"/>
      <c r="CC12" s="46"/>
      <c r="CD12" s="46"/>
    </row>
    <row collapsed="false" customFormat="false" customHeight="false" hidden="false" ht="33" outlineLevel="0" r="13">
      <c r="A13" s="39" t="str">
        <f aca="false">IF(AND(F13="B",IF(OR(G13="LD",G13="LDU",G13="ADD",G13="SUB",G13="AND",G13="OR",G13="XOR"),1,0)),CONCATENATE(G13,"#"),G13)</f>
        <v>SUB</v>
      </c>
      <c r="B13" s="24" t="str">
        <f aca="false">"R["&amp;H13&amp;"] &lt;= R["&amp;I13&amp;"] - R["&amp;J13&amp;"]"</f>
        <v>R[3] &lt;= R[1] - R[2]</v>
      </c>
      <c r="C13" s="24" t="s">
        <v>240</v>
      </c>
      <c r="D13" s="34" t="str">
        <f aca="false">IF(F13="A",CONCATENATE(F13," ",G13," R",H13,",R",I13,",R",J13),IF(F13="B",CONCATENATE(F13," ",G13," R",H13,",R",I13,",",K13),CONCATENATE(F13," ",G13," ",K13)))</f>
        <v>A SUB R3,R1,R2</v>
      </c>
      <c r="E13" s="29"/>
      <c r="F13" s="30" t="s">
        <v>237</v>
      </c>
      <c r="G13" s="30" t="s">
        <v>14</v>
      </c>
      <c r="H13" s="31" t="n">
        <v>3</v>
      </c>
      <c r="I13" s="31" t="n">
        <v>1</v>
      </c>
      <c r="J13" s="31" t="n">
        <v>2</v>
      </c>
      <c r="K13" s="31" t="s">
        <v>231</v>
      </c>
      <c r="L13" s="51" t="s">
        <v>231</v>
      </c>
      <c r="M13" s="24" t="n">
        <f aca="false">M12+1</f>
        <v>6</v>
      </c>
      <c r="N13" s="56" t="s">
        <v>241</v>
      </c>
      <c r="O13" s="24" t="n">
        <f aca="false">O12</f>
        <v>0</v>
      </c>
      <c r="P13" s="49" t="str">
        <f aca="false">P12</f>
        <v>FFFFFFFD</v>
      </c>
      <c r="Q13" s="31" t="str">
        <f aca="false">Q12</f>
        <v>FFFFFFFD</v>
      </c>
      <c r="R13" s="52" t="str">
        <f aca="false">DEC2HEX(K11-K12)</f>
        <v>0</v>
      </c>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36"/>
      <c r="AV13" s="46"/>
      <c r="AW13" s="46"/>
      <c r="AX13" s="46"/>
      <c r="AY13" s="46"/>
      <c r="AZ13" s="46"/>
      <c r="BA13" s="46"/>
      <c r="BB13" s="46"/>
      <c r="BC13" s="46"/>
      <c r="BD13" s="46"/>
      <c r="BE13" s="46"/>
      <c r="BF13" s="46"/>
      <c r="BG13" s="46"/>
      <c r="BH13" s="46"/>
      <c r="BI13" s="46"/>
      <c r="BJ13" s="46"/>
      <c r="BK13" s="46"/>
      <c r="BL13" s="46"/>
      <c r="BM13" s="46"/>
      <c r="BN13" s="46"/>
      <c r="BO13" s="46"/>
      <c r="BP13" s="46"/>
      <c r="BQ13" s="46"/>
      <c r="BR13" s="46"/>
      <c r="BS13" s="46"/>
      <c r="BT13" s="46"/>
      <c r="BU13" s="46"/>
      <c r="BV13" s="46"/>
      <c r="BW13" s="46"/>
      <c r="BX13" s="46"/>
      <c r="BY13" s="46"/>
      <c r="BZ13" s="46"/>
      <c r="CA13" s="46"/>
      <c r="CB13" s="46"/>
      <c r="CC13" s="46"/>
      <c r="CD13" s="46"/>
    </row>
    <row collapsed="false" customFormat="false" customHeight="false" hidden="false" ht="17.25" outlineLevel="0" r="14">
      <c r="A14" s="24" t="str">
        <f aca="false">IF(AND(F14="B",IF(OR(G14="LD",G14="LDU",G14="ADD",G14="SUB",G14="AND",G14="OR",G14="XOR"),1,0)),CONCATENATE(G14,"#"),G14)</f>
        <v>LD#</v>
      </c>
      <c r="B14" s="24" t="str">
        <f aca="false">"R["&amp;H14&amp;"] &lt;= "&amp;K14</f>
        <v>R[1] &lt;= -5</v>
      </c>
      <c r="C14" s="24" t="s">
        <v>231</v>
      </c>
      <c r="D14" s="34" t="str">
        <f aca="false">IF(F14="A",CONCATENATE(F14," ",G14," R",H14,",R",I14,",R",J14),IF(F14="B",CONCATENATE(F14," ",G14," R",H14,",R",I14,",",K14),CONCATENATE(F14," ",G14," ",K14)))</f>
        <v>B LD R1,R0,-5</v>
      </c>
      <c r="E14" s="29"/>
      <c r="F14" s="24" t="s">
        <v>233</v>
      </c>
      <c r="G14" s="24" t="str">
        <f aca="false">IF(K14&gt;=0,"LDU","LD")</f>
        <v>LD</v>
      </c>
      <c r="H14" s="31" t="n">
        <v>1</v>
      </c>
      <c r="I14" s="31" t="n">
        <v>0</v>
      </c>
      <c r="J14" s="31" t="s">
        <v>231</v>
      </c>
      <c r="K14" s="32" t="n">
        <v>-5</v>
      </c>
      <c r="L14" s="54" t="str">
        <f aca="false">RIGHT(DEC2HEX(K14,10),8)</f>
        <v>FFFFFFFB</v>
      </c>
      <c r="M14" s="24" t="n">
        <f aca="false">M13+1</f>
        <v>7</v>
      </c>
      <c r="N14" s="48"/>
      <c r="O14" s="24" t="n">
        <f aca="false">O13</f>
        <v>0</v>
      </c>
      <c r="P14" s="45" t="str">
        <f aca="false">L14</f>
        <v>FFFFFFFB</v>
      </c>
      <c r="Q14" s="31"/>
      <c r="R14" s="31"/>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36"/>
      <c r="AV14" s="46"/>
      <c r="AW14" s="46"/>
      <c r="AX14" s="46"/>
      <c r="AY14" s="46"/>
      <c r="AZ14" s="46"/>
      <c r="BA14" s="46"/>
      <c r="BB14" s="46"/>
      <c r="BC14" s="46"/>
      <c r="BD14" s="46"/>
      <c r="BE14" s="46"/>
      <c r="BF14" s="46"/>
      <c r="BG14" s="46"/>
      <c r="BH14" s="46"/>
      <c r="BI14" s="46"/>
      <c r="BJ14" s="46"/>
      <c r="BK14" s="46"/>
      <c r="BL14" s="46"/>
      <c r="BM14" s="46"/>
      <c r="BN14" s="46"/>
      <c r="BO14" s="46"/>
      <c r="BP14" s="46"/>
      <c r="BQ14" s="46"/>
      <c r="BR14" s="46"/>
      <c r="BS14" s="46"/>
      <c r="BT14" s="46"/>
      <c r="BU14" s="46"/>
      <c r="BV14" s="46"/>
      <c r="BW14" s="46"/>
      <c r="BX14" s="46"/>
      <c r="BY14" s="46"/>
      <c r="BZ14" s="46"/>
      <c r="CA14" s="46"/>
      <c r="CB14" s="46"/>
      <c r="CC14" s="46"/>
      <c r="CD14" s="46"/>
    </row>
    <row collapsed="false" customFormat="false" customHeight="false" hidden="false" ht="64.5" outlineLevel="0" r="15">
      <c r="A15" s="39" t="str">
        <f aca="false">IF(AND(F15="B",IF(OR(G15="LD",G15="LDU",G15="ADD",G15="SUB",G15="AND",G15="OR",G15="XOR"),1,0)),CONCATENATE(G15,"#"),G15)</f>
        <v>NEG</v>
      </c>
      <c r="B15" s="24" t="str">
        <f aca="false">"R["&amp;H15&amp;"] &lt;= - R["&amp;I15&amp;"]"</f>
        <v>R[3] &lt;= - R[1]</v>
      </c>
      <c r="C15" s="24" t="s">
        <v>242</v>
      </c>
      <c r="D15" s="34" t="str">
        <f aca="false">IF(F15="A",CONCATENATE(F15," ",G15," R",H15,",R",I15,",R",J15),IF(F15="B",CONCATENATE(F15," ",G15," R",H15,",R",I15,",",K15),CONCATENATE(F15," ",G15," ",K15)))</f>
        <v>A NEG R3,R1,R2</v>
      </c>
      <c r="E15" s="29"/>
      <c r="F15" s="30" t="s">
        <v>237</v>
      </c>
      <c r="G15" s="30" t="s">
        <v>23</v>
      </c>
      <c r="H15" s="31" t="n">
        <v>3</v>
      </c>
      <c r="I15" s="31" t="n">
        <v>1</v>
      </c>
      <c r="J15" s="31" t="n">
        <v>2</v>
      </c>
      <c r="K15" s="31" t="s">
        <v>231</v>
      </c>
      <c r="L15" s="51" t="s">
        <v>231</v>
      </c>
      <c r="M15" s="24" t="n">
        <f aca="false">M14+1</f>
        <v>8</v>
      </c>
      <c r="N15" s="56" t="s">
        <v>243</v>
      </c>
      <c r="O15" s="24" t="n">
        <f aca="false">O14</f>
        <v>0</v>
      </c>
      <c r="P15" s="49" t="str">
        <f aca="false">P14</f>
        <v>FFFFFFFB</v>
      </c>
      <c r="Q15" s="31" t="n">
        <f aca="false">Q14</f>
        <v>0</v>
      </c>
      <c r="R15" s="52" t="str">
        <f aca="false">DEC2HEX(-K14)</f>
        <v>5</v>
      </c>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36"/>
      <c r="AV15" s="46"/>
      <c r="AW15" s="46"/>
      <c r="AX15" s="46"/>
      <c r="AY15" s="46"/>
      <c r="AZ15" s="46"/>
      <c r="BA15" s="46"/>
      <c r="BB15" s="46"/>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c r="CA15" s="46"/>
      <c r="CB15" s="46"/>
      <c r="CC15" s="46"/>
      <c r="CD15" s="46"/>
    </row>
    <row collapsed="false" customFormat="false" customHeight="false" hidden="false" ht="17.25" outlineLevel="0" r="16">
      <c r="A16" s="24" t="str">
        <f aca="false">IF(AND(F16="B",IF(OR(G16="LD",G16="LDU",G16="ADD",G16="SUB",G16="AND",G16="OR",G16="XOR"),1,0)),CONCATENATE(G16,"#"),G16)</f>
        <v>LDU#</v>
      </c>
      <c r="B16" s="24" t="str">
        <f aca="false">"R["&amp;H16&amp;"] &lt;= "&amp;K16</f>
        <v>R[1] &lt;= 3</v>
      </c>
      <c r="C16" s="24" t="s">
        <v>231</v>
      </c>
      <c r="D16" s="34" t="str">
        <f aca="false">IF(F16="A",CONCATENATE(F16," ",G16," R",H16,",R",I16,",R",J16),IF(F16="B",CONCATENATE(F16," ",G16," R",H16,",R",I16,",",K16),CONCATENATE(F16," ",G16," ",K16)))</f>
        <v>B LDU R1,R0,3</v>
      </c>
      <c r="E16" s="29"/>
      <c r="F16" s="24" t="s">
        <v>233</v>
      </c>
      <c r="G16" s="24" t="str">
        <f aca="false">IF(K16&gt;=0,"LDU","LD")</f>
        <v>LDU</v>
      </c>
      <c r="H16" s="31" t="n">
        <v>1</v>
      </c>
      <c r="I16" s="31" t="n">
        <v>0</v>
      </c>
      <c r="J16" s="31" t="s">
        <v>231</v>
      </c>
      <c r="K16" s="32" t="n">
        <v>3</v>
      </c>
      <c r="L16" s="54" t="str">
        <f aca="false">RIGHT(DEC2HEX(K16,10),8)</f>
        <v>00000003</v>
      </c>
      <c r="M16" s="24" t="n">
        <f aca="false">M15+1</f>
        <v>9</v>
      </c>
      <c r="N16" s="48"/>
      <c r="O16" s="24" t="n">
        <f aca="false">O15</f>
        <v>0</v>
      </c>
      <c r="P16" s="45" t="str">
        <f aca="false">L16</f>
        <v>00000003</v>
      </c>
      <c r="Q16" s="31"/>
      <c r="R16" s="31"/>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36"/>
      <c r="AV16" s="46"/>
      <c r="AW16" s="46"/>
      <c r="AX16" s="46"/>
      <c r="AY16" s="46"/>
      <c r="AZ16" s="46"/>
      <c r="BA16" s="46"/>
      <c r="BB16" s="46"/>
      <c r="BC16" s="46"/>
      <c r="BD16" s="46"/>
      <c r="BE16" s="46"/>
      <c r="BF16" s="46"/>
      <c r="BG16" s="46"/>
      <c r="BH16" s="46"/>
      <c r="BI16" s="46"/>
      <c r="BJ16" s="46"/>
      <c r="BK16" s="46"/>
      <c r="BL16" s="46"/>
      <c r="BM16" s="46"/>
      <c r="BN16" s="46"/>
      <c r="BO16" s="46"/>
      <c r="BP16" s="46"/>
      <c r="BQ16" s="46"/>
      <c r="BR16" s="46"/>
      <c r="BS16" s="46"/>
      <c r="BT16" s="46"/>
      <c r="BU16" s="46"/>
      <c r="BV16" s="46"/>
      <c r="BW16" s="46"/>
      <c r="BX16" s="46"/>
      <c r="BY16" s="46"/>
      <c r="BZ16" s="46"/>
      <c r="CA16" s="46"/>
      <c r="CB16" s="46"/>
      <c r="CC16" s="46"/>
      <c r="CD16" s="46"/>
    </row>
    <row collapsed="false" customFormat="false" customHeight="false" hidden="false" ht="17.25" outlineLevel="0" r="17">
      <c r="A17" s="43" t="str">
        <f aca="false">IF(AND(F17="B",IF(OR(G17="LD",G17="LDU",G17="ADD",G17="SUB",G17="AND",G17="OR",G17="XOR"),1,0)),CONCATENATE(G17,"#"),G17)</f>
        <v>LDU#</v>
      </c>
      <c r="B17" s="24" t="str">
        <f aca="false">"R["&amp;H17&amp;"] &lt;= "&amp;K17</f>
        <v>R[2] &lt;= 9</v>
      </c>
      <c r="C17" s="24" t="s">
        <v>231</v>
      </c>
      <c r="D17" s="34" t="str">
        <f aca="false">IF(F17="A",CONCATENATE(F17," ",G17," R",H17,",R",I17,",R",J17),IF(F17="B",CONCATENATE(F17," ",G17," R",H17,",R",I17,",",K17),CONCATENATE(F17," ",G17," ",K17)))</f>
        <v>B LDU R2,R0,9</v>
      </c>
      <c r="E17" s="29"/>
      <c r="F17" s="24" t="s">
        <v>233</v>
      </c>
      <c r="G17" s="24" t="str">
        <f aca="false">IF(K17&gt;=0,"LDU","LD")</f>
        <v>LDU</v>
      </c>
      <c r="H17" s="31" t="n">
        <v>2</v>
      </c>
      <c r="I17" s="31" t="n">
        <v>0</v>
      </c>
      <c r="J17" s="31" t="s">
        <v>231</v>
      </c>
      <c r="K17" s="31" t="n">
        <v>9</v>
      </c>
      <c r="L17" s="47" t="str">
        <f aca="false">RIGHT(DEC2HEX(K17,10),8)</f>
        <v>00000009</v>
      </c>
      <c r="M17" s="24" t="n">
        <f aca="false">M16+1</f>
        <v>10</v>
      </c>
      <c r="N17" s="48"/>
      <c r="O17" s="24" t="n">
        <f aca="false">O16</f>
        <v>0</v>
      </c>
      <c r="P17" s="49" t="str">
        <f aca="false">P16</f>
        <v>00000003</v>
      </c>
      <c r="Q17" s="50" t="str">
        <f aca="false">L17</f>
        <v>00000009</v>
      </c>
      <c r="R17" s="31"/>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36"/>
      <c r="AV17" s="46"/>
      <c r="AW17" s="46"/>
      <c r="AX17" s="46"/>
      <c r="AY17" s="46"/>
      <c r="AZ17" s="46"/>
      <c r="BA17" s="46"/>
      <c r="BB17" s="46"/>
      <c r="BC17" s="46"/>
      <c r="BD17" s="46"/>
      <c r="BE17" s="46"/>
      <c r="BF17" s="46"/>
      <c r="BG17" s="46"/>
      <c r="BH17" s="46"/>
      <c r="BI17" s="46"/>
      <c r="BJ17" s="46"/>
      <c r="BK17" s="46"/>
      <c r="BL17" s="46"/>
      <c r="BM17" s="46"/>
      <c r="BN17" s="46"/>
      <c r="BO17" s="46"/>
      <c r="BP17" s="46"/>
      <c r="BQ17" s="46"/>
      <c r="BR17" s="46"/>
      <c r="BS17" s="46"/>
      <c r="BT17" s="46"/>
      <c r="BU17" s="46"/>
      <c r="BV17" s="46"/>
      <c r="BW17" s="46"/>
      <c r="BX17" s="46"/>
      <c r="BY17" s="46"/>
      <c r="BZ17" s="46"/>
      <c r="CA17" s="46"/>
      <c r="CB17" s="46"/>
      <c r="CC17" s="46"/>
      <c r="CD17" s="46"/>
    </row>
    <row collapsed="false" customFormat="false" customHeight="false" hidden="false" ht="33" outlineLevel="0" r="18">
      <c r="A18" s="30" t="str">
        <f aca="false">IF(AND(F18="B",IF(OR(G18="LD",G18="LDU",G18="ADD",G18="SUB",G18="AND",G18="OR",G18="XOR"),1,0)),CONCATENATE(G18,"#"),G18)</f>
        <v>AND</v>
      </c>
      <c r="B18" s="24" t="str">
        <f aca="false">"R["&amp;H18&amp;"] &lt;= R["&amp;I18&amp;"] &amp; R["&amp;J18&amp;"]"</f>
        <v>R[3] &lt;= R[1] &amp; R[2]</v>
      </c>
      <c r="C18" s="24" t="s">
        <v>244</v>
      </c>
      <c r="D18" s="27" t="str">
        <f aca="false">IF(F18="A",CONCATENATE(F18," ",G18," R",H18,",R",I18,",R",J18),IF(F18="B",CONCATENATE(F18," ",G18," R",H18,",R",I18,",",K18),CONCATENATE(F18," ",G18," ",K18)))</f>
        <v>A AND R3,R1,R2</v>
      </c>
      <c r="E18" s="57"/>
      <c r="F18" s="22" t="s">
        <v>237</v>
      </c>
      <c r="G18" s="22" t="s">
        <v>17</v>
      </c>
      <c r="H18" s="58" t="n">
        <v>3</v>
      </c>
      <c r="I18" s="58" t="n">
        <v>1</v>
      </c>
      <c r="J18" s="58" t="n">
        <v>2</v>
      </c>
      <c r="K18" s="58" t="s">
        <v>231</v>
      </c>
      <c r="L18" s="51" t="s">
        <v>231</v>
      </c>
      <c r="M18" s="24" t="n">
        <f aca="false">M17+1</f>
        <v>11</v>
      </c>
      <c r="N18" s="35"/>
      <c r="O18" s="24" t="n">
        <f aca="false">O17</f>
        <v>0</v>
      </c>
      <c r="P18" s="49" t="str">
        <f aca="false">P17</f>
        <v>00000003</v>
      </c>
      <c r="Q18" s="31" t="str">
        <f aca="false">Q17</f>
        <v>00000009</v>
      </c>
      <c r="R18" s="52" t="e">
        <f aca="false">DEC2HEX(bitwise_and(HEX2DEC(P18),HEX2DEC(Q18)))</f>
        <v>#NAME?</v>
      </c>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36"/>
      <c r="AV18" s="46"/>
      <c r="AW18" s="46"/>
      <c r="AX18" s="46"/>
      <c r="AY18" s="46"/>
      <c r="AZ18" s="46"/>
      <c r="BA18" s="46"/>
      <c r="BB18" s="46"/>
      <c r="BC18" s="46"/>
      <c r="BD18" s="46"/>
      <c r="BE18" s="46"/>
      <c r="BF18" s="46"/>
      <c r="BG18" s="46"/>
      <c r="BH18" s="46"/>
      <c r="BI18" s="46"/>
      <c r="BJ18" s="46"/>
      <c r="BK18" s="46"/>
      <c r="BL18" s="46"/>
      <c r="BM18" s="46"/>
      <c r="BN18" s="46"/>
      <c r="BO18" s="46"/>
      <c r="BP18" s="46"/>
      <c r="BQ18" s="46"/>
      <c r="BR18" s="46"/>
      <c r="BS18" s="46"/>
      <c r="BT18" s="46"/>
      <c r="BU18" s="46"/>
      <c r="BV18" s="46"/>
      <c r="BW18" s="46"/>
      <c r="BX18" s="46"/>
      <c r="BY18" s="46"/>
      <c r="BZ18" s="46"/>
      <c r="CA18" s="46"/>
      <c r="CB18" s="46"/>
      <c r="CC18" s="46"/>
      <c r="CD18" s="46"/>
    </row>
    <row collapsed="false" customFormat="false" customHeight="false" hidden="false" ht="17.25" outlineLevel="0" r="19">
      <c r="A19" s="24" t="str">
        <f aca="false">IF(AND(F19="B",IF(OR(G19="LD",G19="LDU",G19="ADD",G19="SUB",G19="AND",G19="OR",G19="XOR"),1,0)),CONCATENATE(G19,"#"),G19)</f>
        <v>LDU#</v>
      </c>
      <c r="B19" s="24" t="str">
        <f aca="false">"R["&amp;H19&amp;"] &lt;= "&amp;K19</f>
        <v>R[1] &lt;= 9</v>
      </c>
      <c r="C19" s="24" t="s">
        <v>231</v>
      </c>
      <c r="D19" s="24" t="str">
        <f aca="false">IF(F19="A",CONCATENATE(F19," ",G19," R",H19,",R",I19,",R",J19),IF(F19="B",CONCATENATE(F19," ",G19," R",H19,",R",I19,",",K19),CONCATENATE(F19," ",G19," ",K19)))</f>
        <v>B LDU R1,R0,9</v>
      </c>
      <c r="E19" s="29"/>
      <c r="F19" s="24" t="s">
        <v>233</v>
      </c>
      <c r="G19" s="24" t="str">
        <f aca="false">IF(K19&gt;=0,"LDU","LD")</f>
        <v>LDU</v>
      </c>
      <c r="H19" s="31" t="n">
        <v>1</v>
      </c>
      <c r="I19" s="31" t="n">
        <v>0</v>
      </c>
      <c r="J19" s="31" t="s">
        <v>231</v>
      </c>
      <c r="K19" s="32" t="n">
        <v>9</v>
      </c>
      <c r="L19" s="54" t="str">
        <f aca="false">RIGHT(DEC2HEX(K19,10),8)</f>
        <v>00000009</v>
      </c>
      <c r="M19" s="24" t="n">
        <f aca="false">M18+1</f>
        <v>12</v>
      </c>
      <c r="N19" s="48"/>
      <c r="O19" s="24" t="n">
        <f aca="false">O18</f>
        <v>0</v>
      </c>
      <c r="P19" s="45" t="str">
        <f aca="false">L19</f>
        <v>00000009</v>
      </c>
      <c r="Q19" s="31"/>
      <c r="R19" s="31"/>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36"/>
      <c r="AV19" s="46"/>
      <c r="AW19" s="46"/>
      <c r="AX19" s="46"/>
      <c r="AY19" s="46"/>
      <c r="AZ19" s="46"/>
      <c r="BA19" s="46"/>
      <c r="BB19" s="46"/>
      <c r="BC19" s="46"/>
      <c r="BD19" s="46"/>
      <c r="BE19" s="46"/>
      <c r="BF19" s="46"/>
      <c r="BG19" s="46"/>
      <c r="BH19" s="46"/>
      <c r="BI19" s="46"/>
      <c r="BJ19" s="46"/>
      <c r="BK19" s="46"/>
      <c r="BL19" s="46"/>
      <c r="BM19" s="46"/>
      <c r="BN19" s="46"/>
      <c r="BO19" s="46"/>
      <c r="BP19" s="46"/>
      <c r="BQ19" s="46"/>
      <c r="BR19" s="46"/>
      <c r="BS19" s="46"/>
      <c r="BT19" s="46"/>
      <c r="BU19" s="46"/>
      <c r="BV19" s="46"/>
      <c r="BW19" s="46"/>
      <c r="BX19" s="46"/>
      <c r="BY19" s="46"/>
      <c r="BZ19" s="46"/>
      <c r="CA19" s="46"/>
      <c r="CB19" s="46"/>
      <c r="CC19" s="46"/>
      <c r="CD19" s="46"/>
    </row>
    <row collapsed="false" customFormat="false" customHeight="false" hidden="false" ht="17.25" outlineLevel="0" r="20">
      <c r="A20" s="43" t="str">
        <f aca="false">IF(AND(F20="B",IF(OR(G20="LD",G20="LDU",G20="ADD",G20="SUB",G20="AND",G20="OR",G20="XOR"),1,0)),CONCATENATE(G20,"#"),G20)</f>
        <v>LDU#</v>
      </c>
      <c r="B20" s="24" t="str">
        <f aca="false">"R["&amp;H20&amp;"] &lt;= "&amp;K20</f>
        <v>R[2] &lt;= 5</v>
      </c>
      <c r="C20" s="24" t="s">
        <v>231</v>
      </c>
      <c r="D20" s="24" t="str">
        <f aca="false">IF(F20="A",CONCATENATE(F20," ",G20," R",H20,",R",I20,",R",J20),IF(F20="B",CONCATENATE(F20," ",G20," R",H20,",R",I20,",",K20),CONCATENATE(F20," ",G20," ",K20)))</f>
        <v>B LDU R2,R0,5</v>
      </c>
      <c r="E20" s="29"/>
      <c r="F20" s="24" t="s">
        <v>233</v>
      </c>
      <c r="G20" s="24" t="str">
        <f aca="false">IF(K20&gt;=0,"LDU","LD")</f>
        <v>LDU</v>
      </c>
      <c r="H20" s="31" t="n">
        <v>2</v>
      </c>
      <c r="I20" s="31" t="n">
        <v>0</v>
      </c>
      <c r="J20" s="31" t="s">
        <v>231</v>
      </c>
      <c r="K20" s="31" t="n">
        <v>5</v>
      </c>
      <c r="L20" s="47" t="str">
        <f aca="false">RIGHT(DEC2HEX(K20,10),8)</f>
        <v>00000005</v>
      </c>
      <c r="M20" s="24" t="n">
        <f aca="false">M19+1</f>
        <v>13</v>
      </c>
      <c r="N20" s="48"/>
      <c r="O20" s="24" t="n">
        <f aca="false">O19</f>
        <v>0</v>
      </c>
      <c r="P20" s="49" t="str">
        <f aca="false">P19</f>
        <v>00000009</v>
      </c>
      <c r="Q20" s="50" t="str">
        <f aca="false">L20</f>
        <v>00000005</v>
      </c>
      <c r="R20" s="31"/>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3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c r="BV20" s="46"/>
      <c r="BW20" s="46"/>
      <c r="BX20" s="46"/>
      <c r="BY20" s="46"/>
      <c r="BZ20" s="46"/>
      <c r="CA20" s="46"/>
      <c r="CB20" s="46"/>
      <c r="CC20" s="46"/>
      <c r="CD20" s="46"/>
    </row>
    <row collapsed="false" customFormat="false" customHeight="false" hidden="false" ht="33" outlineLevel="0" r="21">
      <c r="A21" s="30" t="str">
        <f aca="false">IF(AND(F21="B",IF(OR(G21="LD",G21="LDU",G21="ADD",G21="SUB",G21="AND",G21="OR",G21="XOR"),1,0)),CONCATENATE(G21,"#"),G21)</f>
        <v>OR</v>
      </c>
      <c r="B21" s="24" t="str">
        <f aca="false">"R["&amp;H21&amp;"] &lt;= R["&amp;I21&amp;"] | R["&amp;J21&amp;"]"</f>
        <v>R[3] &lt;= R[1] | R[2]</v>
      </c>
      <c r="C21" s="24" t="s">
        <v>245</v>
      </c>
      <c r="D21" s="24" t="str">
        <f aca="false">IF(F21="A",CONCATENATE(F21," ",G21," R",H21,",R",I21,",R",J21),IF(F21="B",CONCATENATE(F21," ",G21," R",H21,",R",I21,",",K21),CONCATENATE(F21," ",G21," ",K21)))</f>
        <v>A OR R3,R1,R2</v>
      </c>
      <c r="E21" s="29"/>
      <c r="F21" s="30" t="s">
        <v>237</v>
      </c>
      <c r="G21" s="30" t="s">
        <v>20</v>
      </c>
      <c r="H21" s="31" t="n">
        <v>3</v>
      </c>
      <c r="I21" s="31" t="n">
        <v>1</v>
      </c>
      <c r="J21" s="31" t="n">
        <v>2</v>
      </c>
      <c r="K21" s="31" t="s">
        <v>231</v>
      </c>
      <c r="L21" s="51" t="s">
        <v>231</v>
      </c>
      <c r="M21" s="24" t="n">
        <f aca="false">M20+1</f>
        <v>14</v>
      </c>
      <c r="N21" s="35"/>
      <c r="O21" s="24" t="n">
        <f aca="false">O20</f>
        <v>0</v>
      </c>
      <c r="P21" s="49" t="str">
        <f aca="false">P20</f>
        <v>00000009</v>
      </c>
      <c r="Q21" s="31" t="str">
        <f aca="false">Q20</f>
        <v>00000005</v>
      </c>
      <c r="R21" s="52" t="e">
        <f aca="false">DEC2HEX(bitwise_or(HEX2DEC(P21),HEX2DEC(Q21)))</f>
        <v>#NAME?</v>
      </c>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36"/>
      <c r="AV21" s="46"/>
      <c r="AW21" s="46"/>
      <c r="AX21" s="46"/>
      <c r="AY21" s="46"/>
      <c r="AZ21" s="46"/>
      <c r="BA21" s="46"/>
      <c r="BB21" s="46"/>
      <c r="BC21" s="46"/>
      <c r="BD21" s="46"/>
      <c r="BE21" s="46"/>
      <c r="BF21" s="46"/>
      <c r="BG21" s="46"/>
      <c r="BH21" s="46"/>
      <c r="BI21" s="46"/>
      <c r="BJ21" s="46"/>
      <c r="BK21" s="46"/>
      <c r="BL21" s="46"/>
      <c r="BM21" s="46"/>
      <c r="BN21" s="46"/>
      <c r="BO21" s="46"/>
      <c r="BP21" s="46"/>
      <c r="BQ21" s="46"/>
      <c r="BR21" s="46"/>
      <c r="BS21" s="46"/>
      <c r="BT21" s="46"/>
      <c r="BU21" s="46"/>
      <c r="BV21" s="46"/>
      <c r="BW21" s="46"/>
      <c r="BX21" s="46"/>
      <c r="BY21" s="46"/>
      <c r="BZ21" s="46"/>
      <c r="CA21" s="46"/>
      <c r="CB21" s="46"/>
      <c r="CC21" s="46"/>
      <c r="CD21" s="46"/>
    </row>
    <row collapsed="false" customFormat="false" customHeight="false" hidden="false" ht="17.25" outlineLevel="0" r="22">
      <c r="A22" s="24" t="str">
        <f aca="false">IF(AND(F22="B",IF(OR(G22="LD",G22="LDU",G22="ADD",G22="SUB",G22="AND",G22="OR",G22="XOR"),1,0)),CONCATENATE(G22,"#"),G22)</f>
        <v>LDU#</v>
      </c>
      <c r="B22" s="24" t="str">
        <f aca="false">"R["&amp;H22&amp;"] &lt;= "&amp;K22</f>
        <v>R[1] &lt;= 2</v>
      </c>
      <c r="C22" s="24" t="s">
        <v>231</v>
      </c>
      <c r="D22" s="24" t="str">
        <f aca="false">IF(F22="A",CONCATENATE(F22," ",G22," R",H22,",R",I22,",R",J22),IF(F22="B",CONCATENATE(F22," ",G22," R",H22,",R",I22,",",K22),CONCATENATE(F22," ",G22," ",K22)))</f>
        <v>B LDU R1,R0,2</v>
      </c>
      <c r="E22" s="29"/>
      <c r="F22" s="24" t="s">
        <v>233</v>
      </c>
      <c r="G22" s="24" t="str">
        <f aca="false">IF(K22&gt;=0,"LDU","LD")</f>
        <v>LDU</v>
      </c>
      <c r="H22" s="31" t="n">
        <v>1</v>
      </c>
      <c r="I22" s="31" t="n">
        <v>0</v>
      </c>
      <c r="J22" s="31" t="s">
        <v>231</v>
      </c>
      <c r="K22" s="32" t="n">
        <v>2</v>
      </c>
      <c r="L22" s="54" t="str">
        <f aca="false">RIGHT(DEC2HEX(K22,10),8)</f>
        <v>00000002</v>
      </c>
      <c r="M22" s="24" t="n">
        <f aca="false">M21+1</f>
        <v>15</v>
      </c>
      <c r="N22" s="48"/>
      <c r="O22" s="24" t="n">
        <f aca="false">O21</f>
        <v>0</v>
      </c>
      <c r="P22" s="45" t="str">
        <f aca="false">L22</f>
        <v>00000002</v>
      </c>
      <c r="Q22" s="31"/>
      <c r="R22" s="31"/>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36"/>
      <c r="AV22" s="46"/>
      <c r="AW22" s="46"/>
      <c r="AX22" s="46"/>
      <c r="AY22" s="46"/>
      <c r="AZ22" s="46"/>
      <c r="BA22" s="46"/>
      <c r="BB22" s="46"/>
      <c r="BC22" s="46"/>
      <c r="BD22" s="46"/>
      <c r="BE22" s="46"/>
      <c r="BF22" s="46"/>
      <c r="BG22" s="46"/>
      <c r="BH22" s="46"/>
      <c r="BI22" s="46"/>
      <c r="BJ22" s="46"/>
      <c r="BK22" s="46"/>
      <c r="BL22" s="46"/>
      <c r="BM22" s="46"/>
      <c r="BN22" s="46"/>
      <c r="BO22" s="46"/>
      <c r="BP22" s="46"/>
      <c r="BQ22" s="46"/>
      <c r="BR22" s="46"/>
      <c r="BS22" s="46"/>
      <c r="BT22" s="46"/>
      <c r="BU22" s="46"/>
      <c r="BV22" s="46"/>
      <c r="BW22" s="46"/>
      <c r="BX22" s="46"/>
      <c r="BY22" s="46"/>
      <c r="BZ22" s="46"/>
      <c r="CA22" s="46"/>
      <c r="CB22" s="46"/>
      <c r="CC22" s="46"/>
      <c r="CD22" s="46"/>
    </row>
    <row collapsed="false" customFormat="false" customHeight="false" hidden="false" ht="17.25" outlineLevel="0" r="23">
      <c r="A23" s="43" t="str">
        <f aca="false">IF(AND(F23="B",IF(OR(G23="LD",G23="LDU",G23="ADD",G23="SUB",G23="AND",G23="OR",G23="XOR"),1,0)),CONCATENATE(G23,"#"),G23)</f>
        <v>LDU#</v>
      </c>
      <c r="B23" s="24" t="str">
        <f aca="false">"R["&amp;H23&amp;"] &lt;= "&amp;K23</f>
        <v>R[2] &lt;= 9</v>
      </c>
      <c r="C23" s="24" t="s">
        <v>231</v>
      </c>
      <c r="D23" s="24" t="str">
        <f aca="false">IF(F23="A",CONCATENATE(F23," ",G23," R",H23,",R",I23,",R",J23),IF(F23="B",CONCATENATE(F23," ",G23," R",H23,",R",I23,",",K23),CONCATENATE(F23," ",G23," ",K23)))</f>
        <v>B LDU R2,R0,9</v>
      </c>
      <c r="E23" s="29"/>
      <c r="F23" s="24" t="s">
        <v>233</v>
      </c>
      <c r="G23" s="24" t="str">
        <f aca="false">IF(K23&gt;=0,"LDU","LD")</f>
        <v>LDU</v>
      </c>
      <c r="H23" s="31" t="n">
        <v>2</v>
      </c>
      <c r="I23" s="31" t="n">
        <v>0</v>
      </c>
      <c r="J23" s="31" t="s">
        <v>231</v>
      </c>
      <c r="K23" s="31" t="n">
        <v>9</v>
      </c>
      <c r="L23" s="47" t="str">
        <f aca="false">RIGHT(DEC2HEX(K23,10),8)</f>
        <v>00000009</v>
      </c>
      <c r="M23" s="24" t="n">
        <f aca="false">M22+1</f>
        <v>16</v>
      </c>
      <c r="N23" s="48"/>
      <c r="O23" s="24" t="n">
        <f aca="false">O22</f>
        <v>0</v>
      </c>
      <c r="P23" s="49" t="str">
        <f aca="false">P22</f>
        <v>00000002</v>
      </c>
      <c r="Q23" s="50" t="str">
        <f aca="false">L23</f>
        <v>00000009</v>
      </c>
      <c r="R23" s="31"/>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36"/>
      <c r="AV23" s="46"/>
      <c r="AW23" s="46"/>
      <c r="AX23" s="46"/>
      <c r="AY23" s="46"/>
      <c r="AZ23" s="46"/>
      <c r="BA23" s="46"/>
      <c r="BB23" s="46"/>
      <c r="BC23" s="46"/>
      <c r="BD23" s="46"/>
      <c r="BE23" s="46"/>
      <c r="BF23" s="46"/>
      <c r="BG23" s="46"/>
      <c r="BH23" s="46"/>
      <c r="BI23" s="46"/>
      <c r="BJ23" s="46"/>
      <c r="BK23" s="46"/>
      <c r="BL23" s="46"/>
      <c r="BM23" s="46"/>
      <c r="BN23" s="46"/>
      <c r="BO23" s="46"/>
      <c r="BP23" s="46"/>
      <c r="BQ23" s="46"/>
      <c r="BR23" s="46"/>
      <c r="BS23" s="46"/>
      <c r="BT23" s="46"/>
      <c r="BU23" s="46"/>
      <c r="BV23" s="46"/>
      <c r="BW23" s="46"/>
      <c r="BX23" s="46"/>
      <c r="BY23" s="46"/>
      <c r="BZ23" s="46"/>
      <c r="CA23" s="46"/>
      <c r="CB23" s="46"/>
      <c r="CC23" s="46"/>
      <c r="CD23" s="46"/>
    </row>
    <row collapsed="false" customFormat="false" customHeight="false" hidden="false" ht="33" outlineLevel="0" r="24">
      <c r="A24" s="30" t="str">
        <f aca="false">IF(AND(F24="B",IF(OR(G24="LD",G24="LDU",G24="ADD",G24="SUB",G24="AND",G24="OR",G24="XOR"),1,0)),CONCATENATE(G24,"#"),G24)</f>
        <v>XOR</v>
      </c>
      <c r="B24" s="24" t="str">
        <f aca="false">"R["&amp;H24&amp;"] &lt;= XOR(R["&amp;I24&amp;"] , R["&amp;J24&amp;"])"</f>
        <v>R[3] &lt;= XOR(R[1] , R[2])</v>
      </c>
      <c r="C24" s="24" t="s">
        <v>246</v>
      </c>
      <c r="D24" s="24" t="str">
        <f aca="false">IF(F24="A",CONCATENATE(F24," ",G24," R",H24,",R",I24,",R",J24),IF(F24="B",CONCATENATE(F24," ",G24," R",H24,",R",I24,",",K24),CONCATENATE(F24," ",G24," ",K24)))</f>
        <v>A XOR R3,R1,R2</v>
      </c>
      <c r="E24" s="29"/>
      <c r="F24" s="30" t="s">
        <v>237</v>
      </c>
      <c r="G24" s="30" t="s">
        <v>26</v>
      </c>
      <c r="H24" s="31" t="n">
        <v>3</v>
      </c>
      <c r="I24" s="31" t="n">
        <v>1</v>
      </c>
      <c r="J24" s="31" t="n">
        <v>2</v>
      </c>
      <c r="K24" s="31" t="s">
        <v>231</v>
      </c>
      <c r="L24" s="51" t="s">
        <v>231</v>
      </c>
      <c r="M24" s="24" t="n">
        <f aca="false">M23+1</f>
        <v>17</v>
      </c>
      <c r="N24" s="35"/>
      <c r="O24" s="24" t="n">
        <f aca="false">O23</f>
        <v>0</v>
      </c>
      <c r="P24" s="49" t="str">
        <f aca="false">P23</f>
        <v>00000002</v>
      </c>
      <c r="Q24" s="31" t="str">
        <f aca="false">Q23</f>
        <v>00000009</v>
      </c>
      <c r="R24" s="52" t="e">
        <f aca="false">DEC2HEX(bitwise_xor(HEX2DEC(P24),HEX2DEC(Q24)))</f>
        <v>#NAME?</v>
      </c>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36"/>
      <c r="AV24" s="46"/>
      <c r="AW24" s="46"/>
      <c r="AX24" s="46"/>
      <c r="AY24" s="46"/>
      <c r="AZ24" s="46"/>
      <c r="BA24" s="46"/>
      <c r="BB24" s="46"/>
      <c r="BC24" s="46"/>
      <c r="BD24" s="46"/>
      <c r="BE24" s="46"/>
      <c r="BF24" s="46"/>
      <c r="BG24" s="46"/>
      <c r="BH24" s="46"/>
      <c r="BI24" s="46"/>
      <c r="BJ24" s="46"/>
      <c r="BK24" s="46"/>
      <c r="BL24" s="46"/>
      <c r="BM24" s="46"/>
      <c r="BN24" s="46"/>
      <c r="BO24" s="46"/>
      <c r="BP24" s="46"/>
      <c r="BQ24" s="46"/>
      <c r="BR24" s="46"/>
      <c r="BS24" s="46"/>
      <c r="BT24" s="46"/>
      <c r="BU24" s="46"/>
      <c r="BV24" s="46"/>
      <c r="BW24" s="46"/>
      <c r="BX24" s="46"/>
      <c r="BY24" s="46"/>
      <c r="BZ24" s="46"/>
      <c r="CA24" s="46"/>
      <c r="CB24" s="46"/>
      <c r="CC24" s="46"/>
      <c r="CD24" s="46"/>
    </row>
    <row collapsed="false" customFormat="false" customHeight="false" hidden="false" ht="17.25" outlineLevel="0" r="25">
      <c r="A25" s="24" t="str">
        <f aca="false">IF(AND(F25="B",IF(OR(G25="LD",G25="LDU",G25="ADD",G25="SUB",G25="AND",G25="OR",G25="XOR"),1,0)),CONCATENATE(G25,"#"),G25)</f>
        <v>LDU#</v>
      </c>
      <c r="B25" s="24" t="str">
        <f aca="false">"R["&amp;H25&amp;"] &lt;= "&amp;K25</f>
        <v>R[1] &lt;= 2</v>
      </c>
      <c r="C25" s="24" t="s">
        <v>231</v>
      </c>
      <c r="D25" s="24" t="str">
        <f aca="false">IF(F25="A",CONCATENATE(F25," ",G25," R",H25,",R",I25,",R",J25),IF(F25="B",CONCATENATE(F25," ",G25," R",H25,",R",I25,",",K25),CONCATENATE(F25," ",G25," ",K25)))</f>
        <v>B LDU R1,R0,2</v>
      </c>
      <c r="E25" s="29"/>
      <c r="F25" s="24" t="s">
        <v>233</v>
      </c>
      <c r="G25" s="24" t="str">
        <f aca="false">IF(K25&gt;=0,"LDU","LD")</f>
        <v>LDU</v>
      </c>
      <c r="H25" s="31" t="n">
        <v>1</v>
      </c>
      <c r="I25" s="31" t="n">
        <v>0</v>
      </c>
      <c r="J25" s="31" t="s">
        <v>231</v>
      </c>
      <c r="K25" s="32" t="n">
        <v>2</v>
      </c>
      <c r="L25" s="54" t="str">
        <f aca="false">RIGHT(DEC2HEX(K25,10),8)</f>
        <v>00000002</v>
      </c>
      <c r="M25" s="24" t="n">
        <f aca="false">M24+1</f>
        <v>18</v>
      </c>
      <c r="N25" s="48"/>
      <c r="O25" s="24" t="n">
        <f aca="false">O24</f>
        <v>0</v>
      </c>
      <c r="P25" s="45" t="str">
        <f aca="false">L25</f>
        <v>00000002</v>
      </c>
      <c r="Q25" s="31"/>
      <c r="R25" s="31"/>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36"/>
      <c r="AV25" s="46"/>
      <c r="AW25" s="46"/>
      <c r="AX25" s="46"/>
      <c r="AY25" s="46"/>
      <c r="AZ25" s="46"/>
      <c r="BA25" s="46"/>
      <c r="BB25" s="46"/>
      <c r="BC25" s="46"/>
      <c r="BD25" s="46"/>
      <c r="BE25" s="46"/>
      <c r="BF25" s="46"/>
      <c r="BG25" s="46"/>
      <c r="BH25" s="46"/>
      <c r="BI25" s="46"/>
      <c r="BJ25" s="46"/>
      <c r="BK25" s="46"/>
      <c r="BL25" s="46"/>
      <c r="BM25" s="46"/>
      <c r="BN25" s="46"/>
      <c r="BO25" s="46"/>
      <c r="BP25" s="46"/>
      <c r="BQ25" s="46"/>
      <c r="BR25" s="46"/>
      <c r="BS25" s="46"/>
      <c r="BT25" s="46"/>
      <c r="BU25" s="46"/>
      <c r="BV25" s="46"/>
      <c r="BW25" s="46"/>
      <c r="BX25" s="46"/>
      <c r="BY25" s="46"/>
      <c r="BZ25" s="46"/>
      <c r="CA25" s="46"/>
      <c r="CB25" s="46"/>
      <c r="CC25" s="46"/>
      <c r="CD25" s="46"/>
    </row>
    <row collapsed="false" customFormat="false" customHeight="false" hidden="false" ht="17.25" outlineLevel="0" r="26">
      <c r="A26" s="43" t="str">
        <f aca="false">IF(AND(F26="B",IF(OR(G26="LD",G26="LDU",G26="ADD",G26="SUB",G26="AND",G26="OR",G26="XOR"),1,0)),CONCATENATE(G26,"#"),G26)</f>
        <v>LDU#</v>
      </c>
      <c r="B26" s="24" t="str">
        <f aca="false">"R["&amp;H26&amp;"] &lt;= "&amp;K26</f>
        <v>R[2] &lt;= 0</v>
      </c>
      <c r="C26" s="24" t="s">
        <v>231</v>
      </c>
      <c r="D26" s="24" t="str">
        <f aca="false">IF(F26="A",CONCATENATE(F26," ",G26," R",H26,",R",I26,",R",J26),IF(F26="B",CONCATENATE(F26," ",G26," R",H26,",R",I26,",",K26),CONCATENATE(F26," ",G26," ",K26)))</f>
        <v>B LDU R2,R0,0</v>
      </c>
      <c r="E26" s="29"/>
      <c r="F26" s="24" t="s">
        <v>233</v>
      </c>
      <c r="G26" s="24" t="str">
        <f aca="false">IF(K26&gt;=0,"LDU","LD")</f>
        <v>LDU</v>
      </c>
      <c r="H26" s="31" t="n">
        <v>2</v>
      </c>
      <c r="I26" s="31" t="n">
        <v>0</v>
      </c>
      <c r="J26" s="31" t="s">
        <v>231</v>
      </c>
      <c r="K26" s="31" t="n">
        <v>0</v>
      </c>
      <c r="L26" s="47" t="str">
        <f aca="false">RIGHT(DEC2HEX(K26,10),8)</f>
        <v>00000000</v>
      </c>
      <c r="M26" s="24" t="n">
        <f aca="false">M25+1</f>
        <v>19</v>
      </c>
      <c r="N26" s="48"/>
      <c r="O26" s="24" t="n">
        <f aca="false">O25</f>
        <v>0</v>
      </c>
      <c r="P26" s="49" t="str">
        <f aca="false">P25</f>
        <v>00000002</v>
      </c>
      <c r="Q26" s="50" t="str">
        <f aca="false">L26</f>
        <v>00000000</v>
      </c>
      <c r="R26" s="31"/>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36"/>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row>
    <row collapsed="false" customFormat="false" customHeight="false" hidden="false" ht="80.25" outlineLevel="0" r="27">
      <c r="A27" s="30" t="str">
        <f aca="false">IF(AND(F27="B",IF(OR(G27="LD",G27="LDU",G27="ADD",G27="SUB",G27="AND",G27="OR",G27="XOR"),1,0)),CONCATENATE(G27,"#"),G27)</f>
        <v>COMP</v>
      </c>
      <c r="B27" s="24" t="str">
        <f aca="false">"R["&amp;H27&amp;"] &lt;= -R["&amp;I27&amp;"] -1"</f>
        <v>R[3] &lt;= -R[1] -1</v>
      </c>
      <c r="C27" s="24" t="s">
        <v>247</v>
      </c>
      <c r="D27" s="24" t="str">
        <f aca="false">IF(F27="A",CONCATENATE(F27," ",G27," R",H27,",R",I27,",R",J27),IF(F27="B",CONCATENATE(F27," ",G27," R",H27,",R",I27,",",K27),CONCATENATE(F27," ",G27," ",K27)))</f>
        <v>A COMP R3,R1,R0</v>
      </c>
      <c r="E27" s="29"/>
      <c r="F27" s="30" t="s">
        <v>237</v>
      </c>
      <c r="G27" s="30" t="s">
        <v>29</v>
      </c>
      <c r="H27" s="31" t="n">
        <v>3</v>
      </c>
      <c r="I27" s="31" t="n">
        <v>1</v>
      </c>
      <c r="J27" s="31" t="n">
        <v>0</v>
      </c>
      <c r="K27" s="31" t="s">
        <v>231</v>
      </c>
      <c r="L27" s="51" t="s">
        <v>231</v>
      </c>
      <c r="M27" s="24" t="n">
        <f aca="false">M26+1</f>
        <v>20</v>
      </c>
      <c r="N27" s="35"/>
      <c r="O27" s="24" t="n">
        <f aca="false">O26</f>
        <v>0</v>
      </c>
      <c r="P27" s="49" t="str">
        <f aca="false">P26</f>
        <v>00000002</v>
      </c>
      <c r="Q27" s="31" t="str">
        <f aca="false">Q26</f>
        <v>00000000</v>
      </c>
      <c r="R27" s="52" t="str">
        <f aca="false">DEC2HEX(-HEX2DEC(P27)-1)</f>
        <v>FFFFFFFFFD</v>
      </c>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36"/>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row>
    <row collapsed="false" customFormat="false" customHeight="false" hidden="false" ht="17.25" outlineLevel="0" r="28">
      <c r="A28" s="24" t="str">
        <f aca="false">IF(AND(F28="B",IF(OR(G28="LD",G28="LDU",G28="ADD",G28="SUB",G28="AND",G28="OR",G28="XOR"),1,0)),CONCATENATE(G28,"#"),G28)</f>
        <v>LD#</v>
      </c>
      <c r="B28" s="24" t="str">
        <f aca="false">"R["&amp;H28&amp;"] &lt;= "&amp;K28</f>
        <v>R[1] &lt;= -7</v>
      </c>
      <c r="C28" s="24" t="s">
        <v>231</v>
      </c>
      <c r="D28" s="24" t="str">
        <f aca="false">IF(F28="A",CONCATENATE(F28," ",G28," R",H28,",R",I28,",R",J28),IF(F28="B",CONCATENATE(F28," ",G28," R",H28,",R",I28,",",K28),CONCATENATE(F28," ",G28," ",K28)))</f>
        <v>B LD R1,R0,-7</v>
      </c>
      <c r="E28" s="29"/>
      <c r="F28" s="24" t="s">
        <v>233</v>
      </c>
      <c r="G28" s="24" t="str">
        <f aca="false">IF(K28&gt;=0,"LDU","LD")</f>
        <v>LD</v>
      </c>
      <c r="H28" s="31" t="n">
        <v>1</v>
      </c>
      <c r="I28" s="31" t="n">
        <v>0</v>
      </c>
      <c r="J28" s="31" t="s">
        <v>231</v>
      </c>
      <c r="K28" s="32" t="n">
        <v>-7</v>
      </c>
      <c r="L28" s="54" t="str">
        <f aca="false">RIGHT(DEC2HEX(K28,10),8)</f>
        <v>FFFFFFF9</v>
      </c>
      <c r="M28" s="24" t="n">
        <f aca="false">M27+1</f>
        <v>21</v>
      </c>
      <c r="N28" s="48"/>
      <c r="O28" s="24" t="n">
        <f aca="false">O27</f>
        <v>0</v>
      </c>
      <c r="P28" s="45" t="str">
        <f aca="false">L28</f>
        <v>FFFFFFF9</v>
      </c>
      <c r="Q28" s="31" t="str">
        <f aca="false">Q27</f>
        <v>00000000</v>
      </c>
      <c r="R28" s="31"/>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36"/>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row>
    <row collapsed="false" customFormat="false" customHeight="false" hidden="false" ht="29.85" outlineLevel="0" r="29">
      <c r="A29" s="59" t="str">
        <f aca="false">IF(AND(F29="B",IF(OR(G29="LD",G29="LDU",G29="ADD",G29="SUB",G29="AND",G29="OR",G29="XOR"),1,0)),CONCATENATE(G29,"#"),G29)</f>
        <v>LSL</v>
      </c>
      <c r="B29" s="24" t="str">
        <f aca="false">"R["&amp;H29&amp;"] &lt;=   R["&amp;I29&amp;"] &lt;&lt;"</f>
        <v>R[3] &lt;=   R[1] &lt;&lt;</v>
      </c>
      <c r="C29" s="24" t="s">
        <v>248</v>
      </c>
      <c r="D29" s="24" t="str">
        <f aca="false">IF(F29="A",CONCATENATE(F29," ",G29," R",H29,",R",I29,",R",J29),IF(F29="B",CONCATENATE(F29," ",G29," R",H29,",R",I29,",",K29),CONCATENATE(F29," ",G29," ",K29)))</f>
        <v>A LSL R3,R1,R0</v>
      </c>
      <c r="E29" s="29"/>
      <c r="F29" s="30" t="s">
        <v>237</v>
      </c>
      <c r="G29" s="30" t="s">
        <v>42</v>
      </c>
      <c r="H29" s="31" t="n">
        <v>3</v>
      </c>
      <c r="I29" s="31" t="n">
        <v>1</v>
      </c>
      <c r="J29" s="31" t="n">
        <v>0</v>
      </c>
      <c r="K29" s="31" t="s">
        <v>231</v>
      </c>
      <c r="L29" s="51" t="s">
        <v>231</v>
      </c>
      <c r="M29" s="24" t="n">
        <f aca="false">M28+1</f>
        <v>22</v>
      </c>
      <c r="N29" s="35"/>
      <c r="O29" s="24" t="n">
        <f aca="false">O28</f>
        <v>0</v>
      </c>
      <c r="P29" s="49" t="str">
        <f aca="false">P28</f>
        <v>FFFFFFF9</v>
      </c>
      <c r="Q29" s="31" t="str">
        <f aca="false">Q28</f>
        <v>00000000</v>
      </c>
      <c r="R29" s="60" t="e">
        <f aca="false">DEC2HEX(J10251(K28,1))</f>
        <v>#VALUE!</v>
      </c>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36"/>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row>
    <row collapsed="false" customFormat="false" customHeight="false" hidden="false" ht="17.25" outlineLevel="0" r="30">
      <c r="A30" s="24" t="str">
        <f aca="false">IF(AND(F30="B",IF(OR(G30="LD",G30="LDU",G30="ADD",G30="SUB",G30="AND",G30="OR",G30="XOR"),1,0)),CONCATENATE(G30,"#"),G30)</f>
        <v>LD#</v>
      </c>
      <c r="B30" s="24" t="str">
        <f aca="false">"R["&amp;H30&amp;"] &lt;= "&amp;K30</f>
        <v>R[1] &lt;= -10</v>
      </c>
      <c r="C30" s="24" t="s">
        <v>231</v>
      </c>
      <c r="D30" s="24" t="str">
        <f aca="false">IF(F30="A",CONCATENATE(F30," ",G30," R",H30,",R",I30,",R",J30),IF(F30="B",CONCATENATE(F30," ",G30," R",H30,",R",I30,",",K30),CONCATENATE(F30," ",G30," ",K30)))</f>
        <v>B LD R1,R0,-10</v>
      </c>
      <c r="E30" s="29"/>
      <c r="F30" s="24" t="s">
        <v>233</v>
      </c>
      <c r="G30" s="24" t="str">
        <f aca="false">IF(K30&gt;=0,"LDU","LD")</f>
        <v>LD</v>
      </c>
      <c r="H30" s="31" t="n">
        <v>1</v>
      </c>
      <c r="I30" s="31" t="n">
        <v>0</v>
      </c>
      <c r="J30" s="31" t="s">
        <v>231</v>
      </c>
      <c r="K30" s="32" t="n">
        <v>-10</v>
      </c>
      <c r="L30" s="54" t="str">
        <f aca="false">RIGHT(DEC2HEX(K30,10),8)</f>
        <v>FFFFFFF6</v>
      </c>
      <c r="M30" s="24" t="n">
        <f aca="false">M29+1</f>
        <v>23</v>
      </c>
      <c r="N30" s="48"/>
      <c r="O30" s="24" t="n">
        <f aca="false">O29</f>
        <v>0</v>
      </c>
      <c r="P30" s="45" t="str">
        <f aca="false">L30</f>
        <v>FFFFFFF6</v>
      </c>
      <c r="Q30" s="31" t="str">
        <f aca="false">Q29</f>
        <v>00000000</v>
      </c>
      <c r="R30" s="31"/>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36"/>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row>
    <row collapsed="false" customFormat="false" customHeight="false" hidden="false" ht="48.75" outlineLevel="0" r="31">
      <c r="A31" s="59" t="str">
        <f aca="false">IF(AND(F31="B",IF(OR(G31="LD",G31="LDU",G31="ADD",G31="SUB",G31="AND",G31="OR",G31="XOR"),1,0)),CONCATENATE(G31,"#"),G31)</f>
        <v>LSR</v>
      </c>
      <c r="B31" s="24" t="str">
        <f aca="false">"R["&amp;H31&amp;"] &lt;=  &gt;&gt; R["&amp;I31&amp;"]"</f>
        <v>R[3] &lt;=  &gt;&gt; R[1]</v>
      </c>
      <c r="C31" s="24" t="s">
        <v>249</v>
      </c>
      <c r="D31" s="24" t="str">
        <f aca="false">IF(F31="A",CONCATENATE(F31," ",G31," R",H31,",R",I31,",R",J31),IF(F31="B",CONCATENATE(F31," ",G31," R",H31,",R",I31,",",K31),CONCATENATE(F31," ",G31," ",K31)))</f>
        <v>A LSR R3,R1,R2</v>
      </c>
      <c r="E31" s="29"/>
      <c r="F31" s="30" t="s">
        <v>237</v>
      </c>
      <c r="G31" s="30" t="s">
        <v>34</v>
      </c>
      <c r="H31" s="31" t="n">
        <v>3</v>
      </c>
      <c r="I31" s="31" t="n">
        <v>1</v>
      </c>
      <c r="J31" s="31" t="n">
        <v>2</v>
      </c>
      <c r="K31" s="31" t="s">
        <v>231</v>
      </c>
      <c r="L31" s="51" t="s">
        <v>231</v>
      </c>
      <c r="M31" s="24" t="n">
        <f aca="false">M30+1</f>
        <v>24</v>
      </c>
      <c r="N31" s="35"/>
      <c r="O31" s="24" t="n">
        <f aca="false">O30</f>
        <v>0</v>
      </c>
      <c r="P31" s="49" t="str">
        <f aca="false">P30</f>
        <v>FFFFFFF6</v>
      </c>
      <c r="Q31" s="31" t="str">
        <f aca="false">Q30</f>
        <v>00000000</v>
      </c>
      <c r="R31" s="60" t="e">
        <f aca="false">DEC2HEX(logicalshiftright(K30,1))</f>
        <v>#NAME?</v>
      </c>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36"/>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row>
    <row collapsed="false" customFormat="false" customHeight="false" hidden="false" ht="17.25" outlineLevel="0" r="32">
      <c r="A32" s="24" t="str">
        <f aca="false">IF(AND(F32="B",IF(OR(G32="LD",G32="LDU",G32="ADD",G32="SUB",G32="AND",G32="OR",G32="XOR"),1,0)),CONCATENATE(G32,"#"),G32)</f>
        <v>LD#</v>
      </c>
      <c r="B32" s="24" t="str">
        <f aca="false">"R["&amp;H32&amp;"] &lt;= "&amp;K32</f>
        <v>R[1] &lt;= -7</v>
      </c>
      <c r="C32" s="24" t="s">
        <v>231</v>
      </c>
      <c r="D32" s="24" t="str">
        <f aca="false">IF(F32="A",CONCATENATE(F32," ",G32," R",H32,",R",I32,",R",J32),IF(F32="B",CONCATENATE(F32," ",G32," R",H32,",R",I32,",",K32),CONCATENATE(F32," ",G32," ",K32)))</f>
        <v>B LD R1,R0,-7</v>
      </c>
      <c r="E32" s="29"/>
      <c r="F32" s="24" t="s">
        <v>233</v>
      </c>
      <c r="G32" s="24" t="str">
        <f aca="false">IF(K32&gt;=0,"LDU","LD")</f>
        <v>LD</v>
      </c>
      <c r="H32" s="31" t="n">
        <v>1</v>
      </c>
      <c r="I32" s="31" t="n">
        <v>0</v>
      </c>
      <c r="J32" s="31" t="s">
        <v>231</v>
      </c>
      <c r="K32" s="32" t="n">
        <v>-7</v>
      </c>
      <c r="L32" s="54" t="str">
        <f aca="false">RIGHT(DEC2HEX(K32,10),8)</f>
        <v>FFFFFFF9</v>
      </c>
      <c r="M32" s="24" t="n">
        <f aca="false">M31+1</f>
        <v>25</v>
      </c>
      <c r="N32" s="48"/>
      <c r="O32" s="24" t="n">
        <f aca="false">O31</f>
        <v>0</v>
      </c>
      <c r="P32" s="45" t="str">
        <f aca="false">L32</f>
        <v>FFFFFFF9</v>
      </c>
      <c r="Q32" s="31" t="str">
        <f aca="false">Q31</f>
        <v>00000000</v>
      </c>
      <c r="R32" s="31"/>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28"/>
      <c r="AR32" s="28"/>
      <c r="AS32" s="28"/>
      <c r="AT32" s="28"/>
      <c r="AU32" s="36"/>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row>
    <row collapsed="false" customFormat="false" customHeight="false" hidden="false" ht="48.75" outlineLevel="0" r="33">
      <c r="A33" s="59" t="str">
        <f aca="false">IF(AND(F33="B",IF(OR(G33="LD",G33="LDU",G33="ADD",G33="SUB",G33="AND",G33="OR",G33="XOR"),1,0)),CONCATENATE(G33,"#"),G33)</f>
        <v>ASL</v>
      </c>
      <c r="B33" s="24" t="str">
        <f aca="false">"R["&amp;H33&amp;"] &lt;=  R["&amp;I33&amp;"]  &lt;&lt;&lt; "</f>
        <v>R[3] &lt;=  R[1]  &lt;&lt;&lt; </v>
      </c>
      <c r="C33" s="24" t="s">
        <v>250</v>
      </c>
      <c r="D33" s="24" t="str">
        <f aca="false">IF(F33="A",CONCATENATE(F33," ",G33," R",H33,",R",I33,",R",J33),IF(F33="B",CONCATENATE(F33," ",G33," R",H33,",R",I33,",",K33),CONCATENATE(F33," ",G33," ",K33)))</f>
        <v>A ASL R3,R1,R0</v>
      </c>
      <c r="E33" s="29"/>
      <c r="F33" s="30" t="s">
        <v>237</v>
      </c>
      <c r="G33" s="30" t="s">
        <v>44</v>
      </c>
      <c r="H33" s="31" t="n">
        <v>3</v>
      </c>
      <c r="I33" s="31" t="n">
        <v>1</v>
      </c>
      <c r="J33" s="31" t="n">
        <v>0</v>
      </c>
      <c r="K33" s="31" t="s">
        <v>231</v>
      </c>
      <c r="L33" s="51" t="s">
        <v>231</v>
      </c>
      <c r="M33" s="24" t="n">
        <f aca="false">M32+1</f>
        <v>26</v>
      </c>
      <c r="N33" s="35"/>
      <c r="O33" s="24" t="n">
        <f aca="false">O32</f>
        <v>0</v>
      </c>
      <c r="P33" s="49" t="str">
        <f aca="false">P32</f>
        <v>FFFFFFF9</v>
      </c>
      <c r="Q33" s="31" t="str">
        <f aca="false">Q32</f>
        <v>00000000</v>
      </c>
      <c r="R33" s="60" t="e">
        <f aca="false">DEC2HEX(arithmeticalshiftleft(K32,1))</f>
        <v>#NAME?</v>
      </c>
      <c r="S33" s="28"/>
      <c r="T33" s="28"/>
      <c r="U33" s="28"/>
      <c r="V33" s="28"/>
      <c r="W33" s="28"/>
      <c r="X33" s="28"/>
      <c r="Y33" s="28"/>
      <c r="Z33" s="28"/>
      <c r="AA33" s="28"/>
      <c r="AB33" s="28"/>
      <c r="AC33" s="28"/>
      <c r="AD33" s="28"/>
      <c r="AE33" s="28"/>
      <c r="AF33" s="28"/>
      <c r="AG33" s="28"/>
      <c r="AH33" s="28"/>
      <c r="AI33" s="28"/>
      <c r="AJ33" s="28"/>
      <c r="AK33" s="28"/>
      <c r="AL33" s="28"/>
      <c r="AM33" s="28"/>
      <c r="AN33" s="28"/>
      <c r="AO33" s="28"/>
      <c r="AP33" s="28"/>
      <c r="AQ33" s="28"/>
      <c r="AR33" s="28"/>
      <c r="AS33" s="28"/>
      <c r="AT33" s="28"/>
      <c r="AU33" s="36"/>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row>
    <row collapsed="false" customFormat="false" customHeight="false" hidden="false" ht="17.25" outlineLevel="0" r="34">
      <c r="A34" s="24" t="str">
        <f aca="false">IF(AND(F34="B",IF(OR(G34="LD",G34="LDU",G34="ADD",G34="SUB",G34="AND",G34="OR",G34="XOR"),1,0)),CONCATENATE(G34,"#"),G34)</f>
        <v>LD#</v>
      </c>
      <c r="B34" s="24" t="str">
        <f aca="false">"R["&amp;H34&amp;"] &lt;= "&amp;K34</f>
        <v>R[1] &lt;= -5</v>
      </c>
      <c r="C34" s="24" t="s">
        <v>231</v>
      </c>
      <c r="D34" s="24" t="str">
        <f aca="false">IF(F34="A",CONCATENATE(F34," ",G34," R",H34,",R",I34,",R",J34),IF(F34="B",CONCATENATE(F34," ",G34," R",H34,",R",I34,",",K34),CONCATENATE(F34," ",G34," ",K34)))</f>
        <v>B LD R1,R0,-5</v>
      </c>
      <c r="E34" s="29"/>
      <c r="F34" s="24" t="s">
        <v>233</v>
      </c>
      <c r="G34" s="24" t="str">
        <f aca="false">IF(K34&gt;=0,"LDU","LD")</f>
        <v>LD</v>
      </c>
      <c r="H34" s="31" t="n">
        <v>1</v>
      </c>
      <c r="I34" s="31" t="n">
        <v>0</v>
      </c>
      <c r="J34" s="31" t="s">
        <v>231</v>
      </c>
      <c r="K34" s="32" t="n">
        <v>-5</v>
      </c>
      <c r="L34" s="54" t="str">
        <f aca="false">RIGHT(DEC2HEX(K34,10),8)</f>
        <v>FFFFFFFB</v>
      </c>
      <c r="M34" s="24" t="n">
        <f aca="false">M33+1</f>
        <v>27</v>
      </c>
      <c r="N34" s="48"/>
      <c r="O34" s="24" t="n">
        <f aca="false">O33</f>
        <v>0</v>
      </c>
      <c r="P34" s="45" t="str">
        <f aca="false">L34</f>
        <v>FFFFFFFB</v>
      </c>
      <c r="Q34" s="31" t="str">
        <f aca="false">Q33</f>
        <v>00000000</v>
      </c>
      <c r="R34" s="31"/>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36"/>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row>
    <row collapsed="false" customFormat="false" customHeight="false" hidden="false" ht="48.75" outlineLevel="0" r="35">
      <c r="A35" s="59" t="str">
        <f aca="false">IF(AND(F35="B",IF(OR(G35="LD",G35="LDU",G35="ADD",G35="SUB",G35="AND",G35="OR",G35="XOR"),1,0)),CONCATENATE(G35,"#"),G35)</f>
        <v>ASR</v>
      </c>
      <c r="B35" s="24" t="str">
        <f aca="false">"R["&amp;H35&amp;"] &lt;=  &gt;&gt;&gt; R["&amp;I35&amp;"]"</f>
        <v>R[3] &lt;=  &gt;&gt;&gt; R[1]</v>
      </c>
      <c r="C35" s="24" t="s">
        <v>251</v>
      </c>
      <c r="D35" s="24" t="str">
        <f aca="false">IF(F35="A",CONCATENATE(F35," ",G35," R",H35,",R",I35,",R",J35),IF(F35="B",CONCATENATE(F35," ",G35," R",H35,",R",I35,",",K35),CONCATENATE(F35," ",G35," ",K35)))</f>
        <v>A ASR R3,R1,R2</v>
      </c>
      <c r="E35" s="29"/>
      <c r="F35" s="30" t="s">
        <v>237</v>
      </c>
      <c r="G35" s="30" t="s">
        <v>38</v>
      </c>
      <c r="H35" s="31" t="n">
        <v>3</v>
      </c>
      <c r="I35" s="31" t="n">
        <v>1</v>
      </c>
      <c r="J35" s="31" t="n">
        <v>2</v>
      </c>
      <c r="K35" s="31" t="s">
        <v>231</v>
      </c>
      <c r="L35" s="51" t="s">
        <v>231</v>
      </c>
      <c r="M35" s="24" t="n">
        <f aca="false">M34+1</f>
        <v>28</v>
      </c>
      <c r="N35" s="35"/>
      <c r="O35" s="24" t="n">
        <f aca="false">O34</f>
        <v>0</v>
      </c>
      <c r="P35" s="49" t="str">
        <f aca="false">P34</f>
        <v>FFFFFFFB</v>
      </c>
      <c r="Q35" s="31" t="str">
        <f aca="false">Q34</f>
        <v>00000000</v>
      </c>
      <c r="R35" s="60" t="e">
        <f aca="false">DEC2HEX(arithmeticalshiftright(K34,1))</f>
        <v>#NAME?</v>
      </c>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36"/>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row>
    <row collapsed="false" customFormat="false" customHeight="false" hidden="false" ht="17.25" outlineLevel="0" r="36">
      <c r="A36" s="24" t="str">
        <f aca="false">IF(AND(F36="B",IF(OR(G36="LD",G36="LDU",G36="ADD",G36="SUB",G36="AND",G36="OR",G36="XOR"),1,0)),CONCATENATE(G36,"#"),G36)</f>
        <v>LDU#</v>
      </c>
      <c r="B36" s="24" t="str">
        <f aca="false">"R["&amp;H36&amp;"] &lt;= "&amp;K36</f>
        <v>R[1] &lt;= 7</v>
      </c>
      <c r="C36" s="24" t="s">
        <v>231</v>
      </c>
      <c r="D36" s="24" t="str">
        <f aca="false">IF(F36="A",CONCATENATE(F36," ",G36," R",H36,",R",I36,",R",J36),IF(F36="B",CONCATENATE(F36," ",G36," R",H36,",R",I36,",",K36),CONCATENATE(F36," ",G36," ",K36)))</f>
        <v>B LDU R1,R0,7</v>
      </c>
      <c r="E36" s="29"/>
      <c r="F36" s="24" t="s">
        <v>233</v>
      </c>
      <c r="G36" s="24" t="str">
        <f aca="false">IF(K36&gt;=0,"LDU","LD")</f>
        <v>LDU</v>
      </c>
      <c r="H36" s="31" t="n">
        <v>1</v>
      </c>
      <c r="I36" s="31" t="n">
        <v>0</v>
      </c>
      <c r="J36" s="31" t="s">
        <v>231</v>
      </c>
      <c r="K36" s="32" t="n">
        <v>7</v>
      </c>
      <c r="L36" s="54" t="str">
        <f aca="false">RIGHT(DEC2HEX(K36,10),8)</f>
        <v>00000007</v>
      </c>
      <c r="M36" s="24" t="n">
        <f aca="false">M35+1</f>
        <v>29</v>
      </c>
      <c r="N36" s="48"/>
      <c r="O36" s="24" t="n">
        <f aca="false">O35</f>
        <v>0</v>
      </c>
      <c r="P36" s="45" t="str">
        <f aca="false">L36</f>
        <v>00000007</v>
      </c>
      <c r="Q36" s="31" t="str">
        <f aca="false">Q35</f>
        <v>00000000</v>
      </c>
      <c r="R36" s="31"/>
      <c r="S36" s="28"/>
      <c r="T36" s="28"/>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36"/>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row>
    <row collapsed="false" customFormat="false" customHeight="false" hidden="false" ht="48.75" outlineLevel="0" r="37">
      <c r="A37" s="30" t="str">
        <f aca="false">IF(AND(F37="B",IF(OR(G37="LD",G37="LDU",G37="ADD",G37="SUB",G37="AND",G37="OR",G37="XOR"),1,0)),CONCATENATE(G37,"#"),G37)</f>
        <v>ROL</v>
      </c>
      <c r="B37" s="24" t="str">
        <f aca="false">"R["&amp;H37&amp;"] &lt;=  {R["&amp;I37&amp;"]{30:0},CARRY_FLAG}"&amp;CHAR(10)&amp;"CARRY_FLAG &lt;=  R["&amp;I37&amp;"]{31}"</f>
        <v>R[3] &lt;=  {R[1]{30:0},CARRY_FLAG}
CARRY_FLAG &lt;=  R[1]{31}</v>
      </c>
      <c r="C37" s="24" t="s">
        <v>252</v>
      </c>
      <c r="D37" s="34" t="str">
        <f aca="false">IF(F37="A",CONCATENATE(F37," ",G37," R",H37,",R",I37,",R",J37),IF(F37="B",CONCATENATE(F37," ",G37," R",H37,",R",I37,",",K37),CONCATENATE(F37," ",G37," ",K37)))</f>
        <v>A ROL R3,R1,R0</v>
      </c>
      <c r="E37" s="29"/>
      <c r="F37" s="30" t="s">
        <v>237</v>
      </c>
      <c r="G37" s="30" t="s">
        <v>52</v>
      </c>
      <c r="H37" s="31" t="n">
        <v>3</v>
      </c>
      <c r="I37" s="31" t="n">
        <v>1</v>
      </c>
      <c r="J37" s="31" t="n">
        <v>0</v>
      </c>
      <c r="K37" s="31" t="s">
        <v>231</v>
      </c>
      <c r="L37" s="51" t="s">
        <v>231</v>
      </c>
      <c r="M37" s="24" t="n">
        <f aca="false">M36+1</f>
        <v>30</v>
      </c>
      <c r="N37" s="35"/>
      <c r="O37" s="24" t="n">
        <f aca="false">O36</f>
        <v>0</v>
      </c>
      <c r="P37" s="49" t="str">
        <f aca="false">P36</f>
        <v>00000007</v>
      </c>
      <c r="Q37" s="31" t="str">
        <f aca="false">Q36</f>
        <v>00000000</v>
      </c>
      <c r="R37" s="52" t="e">
        <f aca="false">DEC2HEX(logicalshiftleft(P37,1))&amp;" | "&amp;DEC2HEX(2^0+logicalshiftleft(P37,1))</f>
        <v>#NAME?</v>
      </c>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36"/>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row>
    <row collapsed="false" customFormat="false" customHeight="false" hidden="false" ht="17.25" outlineLevel="0" r="38">
      <c r="A38" s="24" t="str">
        <f aca="false">IF(AND(F38="B",IF(OR(G38="LD",G38="LDU",G38="ADD",G38="SUB",G38="AND",G38="OR",G38="XOR"),1,0)),CONCATENATE(G38,"#"),G38)</f>
        <v>LDU#</v>
      </c>
      <c r="B38" s="24" t="str">
        <f aca="false">"R["&amp;H38&amp;"] &lt;= "&amp;K38</f>
        <v>R[1] &lt;= 7</v>
      </c>
      <c r="C38" s="24" t="s">
        <v>231</v>
      </c>
      <c r="D38" s="24" t="str">
        <f aca="false">IF(F38="A",CONCATENATE(F38," ",G38," R",H38,",R",I38,",R",J38),IF(F38="B",CONCATENATE(F38," ",G38," R",H38,",R",I38,",",K38),CONCATENATE(F38," ",G38," ",K38)))</f>
        <v>B LDU R1,R0,7</v>
      </c>
      <c r="E38" s="29"/>
      <c r="F38" s="24" t="s">
        <v>233</v>
      </c>
      <c r="G38" s="24" t="str">
        <f aca="false">IF(K38&gt;=0,"LDU","LD")</f>
        <v>LDU</v>
      </c>
      <c r="H38" s="31" t="n">
        <v>1</v>
      </c>
      <c r="I38" s="31" t="n">
        <v>0</v>
      </c>
      <c r="J38" s="31" t="s">
        <v>231</v>
      </c>
      <c r="K38" s="32" t="n">
        <v>7</v>
      </c>
      <c r="L38" s="54" t="str">
        <f aca="false">RIGHT(DEC2HEX(K38,10),8)</f>
        <v>00000007</v>
      </c>
      <c r="M38" s="24" t="n">
        <f aca="false">M37+1</f>
        <v>31</v>
      </c>
      <c r="N38" s="48"/>
      <c r="O38" s="24" t="n">
        <f aca="false">O37</f>
        <v>0</v>
      </c>
      <c r="P38" s="45" t="str">
        <f aca="false">L38</f>
        <v>00000007</v>
      </c>
      <c r="Q38" s="31" t="str">
        <f aca="false">Q37</f>
        <v>00000000</v>
      </c>
      <c r="R38" s="31"/>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36"/>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row>
    <row collapsed="false" customFormat="false" customHeight="false" hidden="false" ht="48.75" outlineLevel="0" r="39">
      <c r="A39" s="22" t="str">
        <f aca="false">IF(AND(F39="B",IF(OR(G39="LD",G39="LDU",G39="ADD",G39="SUB",G39="AND",G39="OR",G39="XOR"),1,0)),CONCATENATE(G39,"#"),G39)</f>
        <v>ROR</v>
      </c>
      <c r="B39" s="26" t="str">
        <f aca="false">"R["&amp;H39&amp;"] &lt;=  {CARRY_FLAG,R["&amp;I39&amp;"]{31:1}}"&amp;CHAR(10)&amp;"CARRY_FLAG &lt;=  R["&amp;I39&amp;"]{30}"</f>
        <v>R[3] &lt;=  {CARRY_FLAG,R[1]{31:1}}
CARRY_FLAG &lt;=  R[1]{30}</v>
      </c>
      <c r="C39" s="26" t="s">
        <v>253</v>
      </c>
      <c r="D39" s="24" t="str">
        <f aca="false">IF(F39="A",CONCATENATE(F39," ",G39," R",H39,",R",I39,",R",J39),IF(F39="B",CONCATENATE(F39," ",G39," R",H39,",R",I39,",",K39),CONCATENATE(F39," ",G39," ",K39)))</f>
        <v>A ROR R3,R1,R0</v>
      </c>
      <c r="E39" s="29"/>
      <c r="F39" s="30" t="s">
        <v>237</v>
      </c>
      <c r="G39" s="30" t="s">
        <v>48</v>
      </c>
      <c r="H39" s="31" t="n">
        <v>3</v>
      </c>
      <c r="I39" s="31" t="n">
        <v>1</v>
      </c>
      <c r="J39" s="31" t="n">
        <v>0</v>
      </c>
      <c r="K39" s="31" t="s">
        <v>231</v>
      </c>
      <c r="L39" s="51" t="s">
        <v>231</v>
      </c>
      <c r="M39" s="24" t="n">
        <f aca="false">M38+1</f>
        <v>32</v>
      </c>
      <c r="N39" s="61" t="s">
        <v>254</v>
      </c>
      <c r="O39" s="24" t="n">
        <f aca="false">O38</f>
        <v>0</v>
      </c>
      <c r="P39" s="49" t="str">
        <f aca="false">P38</f>
        <v>00000007</v>
      </c>
      <c r="Q39" s="31" t="str">
        <f aca="false">Q38</f>
        <v>00000000</v>
      </c>
      <c r="R39" s="52" t="e">
        <f aca="false">DEC2HEX(logicalshiftright(P39,1))&amp;" | "&amp;DEC2HEX(2^31+logicalshiftright(P39,1))</f>
        <v>#NAME?</v>
      </c>
      <c r="S39" s="28"/>
      <c r="T39" s="28"/>
      <c r="U39" s="28"/>
      <c r="V39" s="28"/>
      <c r="W39" s="28"/>
      <c r="X39" s="28"/>
      <c r="Y39" s="28"/>
      <c r="Z39" s="28"/>
      <c r="AA39" s="28"/>
      <c r="AB39" s="28"/>
      <c r="AC39" s="28"/>
      <c r="AD39" s="28"/>
      <c r="AE39" s="28"/>
      <c r="AF39" s="28"/>
      <c r="AG39" s="28"/>
      <c r="AH39" s="28"/>
      <c r="AI39" s="28"/>
      <c r="AJ39" s="28"/>
      <c r="AK39" s="28"/>
      <c r="AL39" s="28"/>
      <c r="AM39" s="28"/>
      <c r="AN39" s="28"/>
      <c r="AO39" s="28"/>
      <c r="AP39" s="28"/>
      <c r="AQ39" s="28"/>
      <c r="AR39" s="28"/>
      <c r="AS39" s="28"/>
      <c r="AT39" s="28"/>
      <c r="AU39" s="36"/>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row>
    <row collapsed="false" customFormat="false" customHeight="false" hidden="false" ht="16.5" outlineLevel="0" r="40">
      <c r="A40" s="24" t="str">
        <f aca="false">IF(AND(F40="B",IF(OR(G40="LD",G40="LDU",G40="ADD",G40="SUB",G40="AND",G40="OR",G40="XOR"),1,0)),CONCATENATE(G40,"#"),G40)</f>
        <v>LDU#</v>
      </c>
      <c r="B40" s="24" t="str">
        <f aca="false">"R["&amp;H40&amp;"] &lt;= "&amp;K40</f>
        <v>R[1] &lt;= 1</v>
      </c>
      <c r="C40" s="24" t="s">
        <v>231</v>
      </c>
      <c r="D40" s="24" t="str">
        <f aca="false">IF(F40="A",CONCATENATE(F40," ",G40," R",H40,",R",I40,",R",J40),IF(F40="B",CONCATENATE(F40," ",G40," R",H40,",R",I40,",",K40),CONCATENATE(F40," ",G40," ",K40)))</f>
        <v>B LDU R1,R0,1</v>
      </c>
      <c r="E40" s="29"/>
      <c r="F40" s="24" t="s">
        <v>233</v>
      </c>
      <c r="G40" s="24" t="str">
        <f aca="false">IF(K40&gt;=0,"LDU","LD")</f>
        <v>LDU</v>
      </c>
      <c r="H40" s="31" t="n">
        <v>1</v>
      </c>
      <c r="I40" s="31" t="n">
        <v>0</v>
      </c>
      <c r="J40" s="31" t="s">
        <v>231</v>
      </c>
      <c r="K40" s="32" t="n">
        <v>1</v>
      </c>
      <c r="L40" s="54" t="str">
        <f aca="false">RIGHT(DEC2HEX(K40,10),8)</f>
        <v>00000001</v>
      </c>
      <c r="M40" s="24" t="n">
        <f aca="false">M39+1</f>
        <v>33</v>
      </c>
      <c r="N40" s="48"/>
      <c r="O40" s="24" t="n">
        <f aca="false">O39</f>
        <v>0</v>
      </c>
      <c r="P40" s="45" t="str">
        <f aca="false">L40</f>
        <v>00000001</v>
      </c>
      <c r="Q40" s="31" t="str">
        <f aca="false">Q39</f>
        <v>00000000</v>
      </c>
      <c r="R40" s="31"/>
      <c r="S40" s="28"/>
      <c r="T40" s="28"/>
      <c r="U40" s="28"/>
      <c r="V40" s="28"/>
      <c r="W40" s="28"/>
      <c r="X40" s="28"/>
      <c r="Y40" s="28"/>
      <c r="Z40" s="28"/>
      <c r="AA40" s="28"/>
      <c r="AB40" s="28"/>
      <c r="AC40" s="28"/>
      <c r="AD40" s="28"/>
      <c r="AE40" s="28"/>
      <c r="AF40" s="28"/>
      <c r="AG40" s="28"/>
      <c r="AH40" s="28"/>
      <c r="AI40" s="28"/>
      <c r="AJ40" s="28"/>
      <c r="AK40" s="28"/>
      <c r="AL40" s="28"/>
      <c r="AM40" s="28"/>
      <c r="AN40" s="28"/>
      <c r="AO40" s="28"/>
      <c r="AP40" s="28"/>
      <c r="AQ40" s="28"/>
      <c r="AR40" s="28"/>
      <c r="AS40" s="28"/>
      <c r="AT40" s="28"/>
      <c r="AU40" s="36"/>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row>
    <row collapsed="false" customFormat="false" customHeight="false" hidden="false" ht="127.5" outlineLevel="0" r="41">
      <c r="A41" s="39" t="str">
        <f aca="false">IF(AND(F41="B",IF(OR(G41="LD",G41="LDU",G41="ADD",G41="SUB",G41="AND",G41="OR",G41="XOR"),1,0)),CONCATENATE(G41,"#"),G41)</f>
        <v>ADD#</v>
      </c>
      <c r="B41" s="24" t="str">
        <f aca="false">"R["&amp;H41&amp;"] &lt;= R["&amp;I41&amp;"] + "&amp;K41</f>
        <v>R[3] &lt;= R[1] + 4</v>
      </c>
      <c r="C41" s="24" t="s">
        <v>255</v>
      </c>
      <c r="D41" s="24" t="str">
        <f aca="false">IF(F41="A",CONCATENATE(F41," ",G41," R",H41,",R",I41,",R",J41),IF(F41="B",CONCATENATE(F41," ",G41," R",H41,",R",I41,",",K41),CONCATENATE(F41," ",G41," ",K41)))</f>
        <v>B ADD R3,R1,4</v>
      </c>
      <c r="E41" s="29"/>
      <c r="F41" s="53" t="s">
        <v>233</v>
      </c>
      <c r="G41" s="30" t="s">
        <v>11</v>
      </c>
      <c r="H41" s="31" t="n">
        <v>3</v>
      </c>
      <c r="I41" s="31" t="n">
        <v>1</v>
      </c>
      <c r="J41" s="31" t="s">
        <v>231</v>
      </c>
      <c r="K41" s="31" t="n">
        <v>4</v>
      </c>
      <c r="L41" s="51"/>
      <c r="M41" s="24" t="n">
        <f aca="false">M40+1</f>
        <v>34</v>
      </c>
      <c r="N41" s="48"/>
      <c r="O41" s="24" t="n">
        <f aca="false">O40</f>
        <v>0</v>
      </c>
      <c r="P41" s="49" t="str">
        <f aca="false">P40</f>
        <v>00000001</v>
      </c>
      <c r="Q41" s="31" t="str">
        <f aca="false">Q40</f>
        <v>00000000</v>
      </c>
      <c r="R41" s="52" t="str">
        <f aca="false">DEC2HEX(K40+K41)</f>
        <v>5</v>
      </c>
      <c r="S41" s="28"/>
      <c r="T41" s="28"/>
      <c r="U41" s="28"/>
      <c r="V41" s="28"/>
      <c r="W41" s="28"/>
      <c r="X41" s="28"/>
      <c r="Y41" s="28"/>
      <c r="Z41" s="28"/>
      <c r="AA41" s="28"/>
      <c r="AB41" s="28"/>
      <c r="AC41" s="28"/>
      <c r="AD41" s="28"/>
      <c r="AE41" s="28"/>
      <c r="AF41" s="28"/>
      <c r="AG41" s="28"/>
      <c r="AH41" s="28"/>
      <c r="AI41" s="28"/>
      <c r="AJ41" s="28"/>
      <c r="AK41" s="28"/>
      <c r="AL41" s="28"/>
      <c r="AM41" s="28"/>
      <c r="AN41" s="28"/>
      <c r="AO41" s="28"/>
      <c r="AP41" s="28"/>
      <c r="AQ41" s="28"/>
      <c r="AR41" s="28"/>
      <c r="AS41" s="28"/>
      <c r="AT41" s="28"/>
      <c r="AU41" s="36"/>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row>
    <row collapsed="false" customFormat="false" customHeight="false" hidden="false" ht="16.5" outlineLevel="0" r="42">
      <c r="A42" s="43" t="str">
        <f aca="false">IF(AND(F42="B",IF(OR(G42="LD",G42="LDU",G42="ADD",G42="SUB",G42="AND",G42="OR",G42="XOR"),1,0)),CONCATENATE(G42,"#"),G42)</f>
        <v>LD#</v>
      </c>
      <c r="B42" s="43" t="str">
        <f aca="false">"R["&amp;H42&amp;"] &lt;= "&amp;K42</f>
        <v>R[1] &lt;= -3</v>
      </c>
      <c r="C42" s="43" t="s">
        <v>231</v>
      </c>
      <c r="D42" s="62" t="str">
        <f aca="false">IF(F42="A",CONCATENATE(F42," ",G42," R",H42,",R",I42,",R",J42),IF(F42="B",CONCATENATE(F42," ",G42," R",H42,",R",I42,",",K42),CONCATENATE(F42," ",G42," ",K42)))</f>
        <v>B LD R1,R0,-3</v>
      </c>
      <c r="E42" s="37"/>
      <c r="F42" s="43" t="s">
        <v>233</v>
      </c>
      <c r="G42" s="24" t="str">
        <f aca="false">IF(K42&gt;=0,"LDU","LD")</f>
        <v>LD</v>
      </c>
      <c r="H42" s="40" t="n">
        <v>1</v>
      </c>
      <c r="I42" s="40" t="n">
        <v>0</v>
      </c>
      <c r="J42" s="40" t="s">
        <v>231</v>
      </c>
      <c r="K42" s="41" t="n">
        <v>-3</v>
      </c>
      <c r="L42" s="42" t="str">
        <f aca="false">RIGHT(DEC2HEX(K42,10),8)</f>
        <v>FFFFFFFD</v>
      </c>
      <c r="M42" s="43" t="n">
        <f aca="false">M41+1</f>
        <v>35</v>
      </c>
      <c r="N42" s="44"/>
      <c r="O42" s="43" t="n">
        <f aca="false">O41</f>
        <v>0</v>
      </c>
      <c r="P42" s="63" t="str">
        <f aca="false">L42</f>
        <v>FFFFFFFD</v>
      </c>
      <c r="Q42" s="31" t="str">
        <f aca="false">Q41</f>
        <v>00000000</v>
      </c>
      <c r="R42" s="40"/>
      <c r="S42" s="28"/>
      <c r="T42" s="28"/>
      <c r="U42" s="28"/>
      <c r="V42" s="28"/>
      <c r="W42" s="28"/>
      <c r="X42" s="28"/>
      <c r="Y42" s="28"/>
      <c r="Z42" s="28"/>
      <c r="AA42" s="28"/>
      <c r="AB42" s="28"/>
      <c r="AC42" s="28"/>
      <c r="AD42" s="28"/>
      <c r="AE42" s="28"/>
      <c r="AF42" s="28"/>
      <c r="AG42" s="28"/>
      <c r="AH42" s="28"/>
      <c r="AI42" s="28"/>
      <c r="AJ42" s="28"/>
      <c r="AK42" s="28"/>
      <c r="AL42" s="28"/>
      <c r="AM42" s="28"/>
      <c r="AN42" s="28"/>
      <c r="AO42" s="28"/>
      <c r="AP42" s="28"/>
      <c r="AQ42" s="28"/>
      <c r="AR42" s="28"/>
      <c r="AS42" s="28"/>
      <c r="AT42" s="28"/>
      <c r="AU42" s="36"/>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row>
    <row collapsed="false" customFormat="false" customHeight="false" hidden="false" ht="33" outlineLevel="0" r="43">
      <c r="A43" s="39" t="str">
        <f aca="false">IF(AND(F43="B",IF(OR(G43="LD",G43="LDU",G43="ADD",G43="SUB",G43="AND",G43="OR",G43="XOR"),1,0)),CONCATENATE(G43,"#"),G43)</f>
        <v>SUB#</v>
      </c>
      <c r="B43" s="24" t="str">
        <f aca="false">"R["&amp;H43&amp;"] &lt;= R["&amp;I43&amp;"] -  "&amp;K43</f>
        <v>R[3] &lt;= R[1] -  -3</v>
      </c>
      <c r="C43" s="26" t="s">
        <v>240</v>
      </c>
      <c r="D43" s="27" t="str">
        <f aca="false">IF(F43="A",CONCATENATE(F43," ",G43," R",H43,",R",I43,",R",J43),IF(F43="B",CONCATENATE(F43," ",G43," R",H43,",R",I43,",",K43),CONCATENATE(F43," ",G43," ",K43)))</f>
        <v>B SUB R3,R1,-3</v>
      </c>
      <c r="E43" s="57"/>
      <c r="F43" s="64" t="s">
        <v>233</v>
      </c>
      <c r="G43" s="22" t="s">
        <v>14</v>
      </c>
      <c r="H43" s="58" t="n">
        <v>3</v>
      </c>
      <c r="I43" s="58" t="n">
        <v>1</v>
      </c>
      <c r="J43" s="58" t="s">
        <v>231</v>
      </c>
      <c r="K43" s="58" t="n">
        <v>-3</v>
      </c>
      <c r="L43" s="65" t="str">
        <f aca="false">RIGHT(DEC2HEX(K43,10),8)</f>
        <v>FFFFFFFD</v>
      </c>
      <c r="M43" s="26" t="n">
        <f aca="false">M42+1</f>
        <v>36</v>
      </c>
      <c r="N43" s="56" t="s">
        <v>241</v>
      </c>
      <c r="O43" s="26" t="n">
        <f aca="false">O42</f>
        <v>0</v>
      </c>
      <c r="P43" s="66" t="str">
        <f aca="false">P42</f>
        <v>FFFFFFFD</v>
      </c>
      <c r="Q43" s="31" t="str">
        <f aca="false">Q42</f>
        <v>00000000</v>
      </c>
      <c r="R43" s="67" t="str">
        <f aca="false">DEC2HEX(K42-K43)</f>
        <v>0</v>
      </c>
      <c r="S43" s="28"/>
      <c r="T43" s="28"/>
      <c r="U43" s="28"/>
      <c r="V43" s="28"/>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36"/>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row>
    <row collapsed="false" customFormat="false" customHeight="false" hidden="false" ht="16.5" outlineLevel="0" r="44">
      <c r="A44" s="24" t="str">
        <f aca="false">IF(AND(F44="B",IF(OR(G44="LD",G44="LDU",G44="ADD",G44="SUB",G44="AND",G44="OR",G44="XOR"),1,0)),CONCATENATE(G44,"#"),G44)</f>
        <v>LDU#</v>
      </c>
      <c r="B44" s="33" t="str">
        <f aca="false">"R["&amp;H44&amp;"] &lt;= "&amp;K44</f>
        <v>R[1] &lt;= 15</v>
      </c>
      <c r="C44" s="24" t="s">
        <v>231</v>
      </c>
      <c r="D44" s="24" t="str">
        <f aca="false">IF(F44="A",CONCATENATE(F44," ",G44," R",H44,",R",I44,",R",J44),IF(F44="B",CONCATENATE(F44," ",G44," R",H44,",R",I44,",",K44),CONCATENATE(F44," ",G44," ",K44)))</f>
        <v>B LDU R1,R0,15</v>
      </c>
      <c r="E44" s="29"/>
      <c r="F44" s="24" t="s">
        <v>233</v>
      </c>
      <c r="G44" s="24" t="str">
        <f aca="false">IF(K44&gt;=0,"LDU","LD")</f>
        <v>LDU</v>
      </c>
      <c r="H44" s="31" t="n">
        <v>1</v>
      </c>
      <c r="I44" s="31" t="n">
        <v>0</v>
      </c>
      <c r="J44" s="31" t="s">
        <v>231</v>
      </c>
      <c r="K44" s="32" t="n">
        <v>15</v>
      </c>
      <c r="L44" s="54" t="str">
        <f aca="false">RIGHT(DEC2HEX(K44,10),8)</f>
        <v>0000000F</v>
      </c>
      <c r="M44" s="24" t="n">
        <f aca="false">M43+1</f>
        <v>37</v>
      </c>
      <c r="N44" s="48"/>
      <c r="O44" s="24" t="n">
        <f aca="false">O43</f>
        <v>0</v>
      </c>
      <c r="P44" s="45" t="str">
        <f aca="false">L44</f>
        <v>0000000F</v>
      </c>
      <c r="Q44" s="31" t="str">
        <f aca="false">Q43</f>
        <v>00000000</v>
      </c>
      <c r="R44" s="31"/>
      <c r="S44" s="28"/>
      <c r="T44" s="28"/>
      <c r="U44" s="28"/>
      <c r="V44" s="28"/>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36"/>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row>
    <row collapsed="false" customFormat="false" customHeight="false" hidden="false" ht="33" outlineLevel="0" r="45">
      <c r="A45" s="30" t="str">
        <f aca="false">IF(AND(F45="B",IF(OR(G45="LD",G45="LDU",G45="ADD",G45="SUB",G45="AND",G45="OR",G45="XOR"),1,0)),CONCATENATE(G45,"#"),G45)</f>
        <v>AND#</v>
      </c>
      <c r="B45" s="24" t="str">
        <f aca="false">"R["&amp;H45&amp;"] &lt;= R["&amp;I45&amp;"] &amp; "&amp;K45</f>
        <v>R[3] &lt;= R[1] &amp; 45</v>
      </c>
      <c r="C45" s="24" t="s">
        <v>244</v>
      </c>
      <c r="D45" s="24" t="str">
        <f aca="false">IF(F45="A",CONCATENATE(F45," ",G45," R",H45,",R",I45,",R",J45),IF(F45="B",CONCATENATE(F45," ",G45," R",H45,",R",I45,",",K45),CONCATENATE(F45," ",G45," ",K45)))</f>
        <v>B AND R3,R1,45</v>
      </c>
      <c r="E45" s="29"/>
      <c r="F45" s="53" t="s">
        <v>233</v>
      </c>
      <c r="G45" s="30" t="s">
        <v>17</v>
      </c>
      <c r="H45" s="31" t="n">
        <v>3</v>
      </c>
      <c r="I45" s="31" t="n">
        <v>1</v>
      </c>
      <c r="J45" s="31" t="s">
        <v>231</v>
      </c>
      <c r="K45" s="31" t="n">
        <v>45</v>
      </c>
      <c r="L45" s="51" t="str">
        <f aca="false">RIGHT(DEC2HEX(K45,10),8)</f>
        <v>0000002D</v>
      </c>
      <c r="M45" s="24" t="n">
        <f aca="false">M44+1</f>
        <v>38</v>
      </c>
      <c r="N45" s="48"/>
      <c r="O45" s="24" t="n">
        <f aca="false">O44</f>
        <v>0</v>
      </c>
      <c r="P45" s="49" t="str">
        <f aca="false">P44</f>
        <v>0000000F</v>
      </c>
      <c r="Q45" s="31" t="str">
        <f aca="false">Q44</f>
        <v>00000000</v>
      </c>
      <c r="R45" s="52" t="e">
        <f aca="false">DEC2HEX(bitwise_and(K44,K45))</f>
        <v>#NAME?</v>
      </c>
      <c r="S45" s="28"/>
      <c r="T45" s="28"/>
      <c r="U45" s="28"/>
      <c r="V45" s="28"/>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36"/>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row>
    <row collapsed="false" customFormat="false" customHeight="false" hidden="false" ht="16.5" outlineLevel="0" r="46">
      <c r="A46" s="24" t="str">
        <f aca="false">IF(AND(F46="B",IF(OR(G46="LD",G46="LDU",G46="ADD",G46="SUB",G46="AND",G46="OR",G46="XOR"),1,0)),CONCATENATE(G46,"#"),G46)</f>
        <v>LDU#</v>
      </c>
      <c r="B46" s="24" t="str">
        <f aca="false">"R["&amp;H46&amp;"] &lt;= "&amp;K46</f>
        <v>R[1] &lt;= 9</v>
      </c>
      <c r="C46" s="43" t="s">
        <v>231</v>
      </c>
      <c r="D46" s="24" t="str">
        <f aca="false">IF(F46="A",CONCATENATE(F46," ",G46," R",H46,",R",I46,",R",J46),IF(F46="B",CONCATENATE(F46," ",G46," R",H46,",R",I46,",",K46),CONCATENATE(F46," ",G46," ",K46)))</f>
        <v>B LDU R1,R0,9</v>
      </c>
      <c r="E46" s="29"/>
      <c r="F46" s="24" t="s">
        <v>233</v>
      </c>
      <c r="G46" s="24" t="str">
        <f aca="false">IF(K46&gt;=0,"LDU","LD")</f>
        <v>LDU</v>
      </c>
      <c r="H46" s="31" t="n">
        <v>1</v>
      </c>
      <c r="I46" s="31" t="n">
        <v>0</v>
      </c>
      <c r="J46" s="31" t="s">
        <v>231</v>
      </c>
      <c r="K46" s="32" t="n">
        <v>9</v>
      </c>
      <c r="L46" s="54" t="str">
        <f aca="false">RIGHT(DEC2HEX(K46,10),8)</f>
        <v>00000009</v>
      </c>
      <c r="M46" s="24" t="n">
        <f aca="false">M45+1</f>
        <v>39</v>
      </c>
      <c r="N46" s="48"/>
      <c r="O46" s="24" t="n">
        <f aca="false">O45</f>
        <v>0</v>
      </c>
      <c r="P46" s="45" t="str">
        <f aca="false">L46</f>
        <v>00000009</v>
      </c>
      <c r="Q46" s="31" t="str">
        <f aca="false">Q45</f>
        <v>00000000</v>
      </c>
      <c r="R46" s="31"/>
      <c r="S46" s="28"/>
      <c r="T46" s="28"/>
      <c r="U46" s="28"/>
      <c r="V46" s="28"/>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36"/>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row>
    <row collapsed="false" customFormat="false" customHeight="false" hidden="false" ht="33" outlineLevel="0" r="47">
      <c r="A47" s="22" t="str">
        <f aca="false">IF(AND(F47="B",IF(OR(G47="LD",G47="LDU",G47="ADD",G47="SUB",G47="AND",G47="OR",G47="XOR"),1,0)),CONCATENATE(G47,"#"),G47)</f>
        <v>OR#</v>
      </c>
      <c r="B47" s="24" t="str">
        <f aca="false">"R["&amp;H47&amp;"] &lt;= R["&amp;I47&amp;"] | "&amp;K47</f>
        <v>R[3] &lt;= R[1] | 3</v>
      </c>
      <c r="C47" s="26" t="s">
        <v>245</v>
      </c>
      <c r="D47" s="24" t="str">
        <f aca="false">IF(F47="A",CONCATENATE(F47," ",G47," R",H47,",R",I47,",R",J47),IF(F47="B",CONCATENATE(F47," ",G47," R",H47,",R",I47,",",K47),CONCATENATE(F47," ",G47," ",K47)))</f>
        <v>B OR R3,R1,3</v>
      </c>
      <c r="E47" s="57"/>
      <c r="F47" s="64" t="s">
        <v>233</v>
      </c>
      <c r="G47" s="22" t="s">
        <v>20</v>
      </c>
      <c r="H47" s="58" t="n">
        <v>3</v>
      </c>
      <c r="I47" s="58" t="n">
        <v>1</v>
      </c>
      <c r="J47" s="58" t="s">
        <v>231</v>
      </c>
      <c r="K47" s="58" t="n">
        <v>3</v>
      </c>
      <c r="L47" s="65" t="str">
        <f aca="false">RIGHT(DEC2HEX(K47,10),8)</f>
        <v>00000003</v>
      </c>
      <c r="M47" s="26" t="n">
        <f aca="false">M46+1</f>
        <v>40</v>
      </c>
      <c r="N47" s="35"/>
      <c r="O47" s="26" t="n">
        <f aca="false">O46</f>
        <v>0</v>
      </c>
      <c r="P47" s="66" t="str">
        <f aca="false">P46</f>
        <v>00000009</v>
      </c>
      <c r="Q47" s="58" t="str">
        <f aca="false">Q46</f>
        <v>00000000</v>
      </c>
      <c r="R47" s="67" t="e">
        <f aca="false">DEC2HEX(bitwise_or(K46,K47))</f>
        <v>#NAME?</v>
      </c>
      <c r="S47" s="28"/>
      <c r="T47" s="28"/>
      <c r="U47" s="28"/>
      <c r="V47" s="28"/>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36"/>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row>
    <row collapsed="false" customFormat="false" customHeight="false" hidden="false" ht="16.5" outlineLevel="0" r="48">
      <c r="A48" s="26" t="str">
        <f aca="false">IF(AND(F48="B",IF(OR(G48="LD",G48="LDU",G48="ADD",G48="SUB",G48="AND",G48="OR",G48="XOR"),1,0)),CONCATENATE(G48,"#"),G48)</f>
        <v>LDU#</v>
      </c>
      <c r="B48" s="26" t="str">
        <f aca="false">"R["&amp;H48&amp;"] &lt;= "&amp;K48</f>
        <v>R[1] &lt;= 2</v>
      </c>
      <c r="C48" s="26" t="s">
        <v>231</v>
      </c>
      <c r="D48" s="25" t="str">
        <f aca="false">IF(F48="A",CONCATENATE(F48," ",G48," R",H48,",R",I48,",R",J48),IF(F48="B",CONCATENATE(F48," ",G48," R",H48,",R",I48,",",K48),CONCATENATE(F48," ",G48," ",K48)))</f>
        <v>B LDU R1,R0,2</v>
      </c>
      <c r="E48" s="57"/>
      <c r="F48" s="26" t="s">
        <v>233</v>
      </c>
      <c r="G48" s="26" t="str">
        <f aca="false">IF(K48&gt;=0,"LDU","LD")</f>
        <v>LDU</v>
      </c>
      <c r="H48" s="58" t="n">
        <v>1</v>
      </c>
      <c r="I48" s="58" t="n">
        <v>0</v>
      </c>
      <c r="J48" s="58" t="s">
        <v>231</v>
      </c>
      <c r="K48" s="68" t="n">
        <v>2</v>
      </c>
      <c r="L48" s="69" t="str">
        <f aca="false">RIGHT(DEC2HEX(K48,10),8)</f>
        <v>00000002</v>
      </c>
      <c r="M48" s="26" t="n">
        <f aca="false">M47+1</f>
        <v>41</v>
      </c>
      <c r="N48" s="25"/>
      <c r="O48" s="26" t="n">
        <f aca="false">O47</f>
        <v>0</v>
      </c>
      <c r="P48" s="70" t="str">
        <f aca="false">L48</f>
        <v>00000002</v>
      </c>
      <c r="Q48" s="58" t="str">
        <f aca="false">Q47</f>
        <v>00000000</v>
      </c>
      <c r="R48" s="58"/>
      <c r="S48" s="28"/>
      <c r="T48" s="28"/>
      <c r="U48" s="28"/>
      <c r="V48" s="28"/>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36"/>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row>
    <row collapsed="false" customFormat="false" customHeight="false" hidden="false" ht="32.25" outlineLevel="0" r="49">
      <c r="A49" s="71" t="str">
        <f aca="false">IF(AND(F49="B",IF(OR(G49="LD",G49="LDU",G49="ADD",G49="SUB",G49="AND",G49="OR",G49="XOR"),1,0)),CONCATENATE(G49,"#"),G49)</f>
        <v>XOR#</v>
      </c>
      <c r="B49" s="72" t="str">
        <f aca="false">"R["&amp;H49&amp;"] &lt;= XOR(R["&amp;I49&amp;"] , "&amp;K49&amp;")"</f>
        <v>R[3] &lt;= XOR(R[1] , 12)</v>
      </c>
      <c r="C49" s="73" t="s">
        <v>246</v>
      </c>
      <c r="D49" s="72" t="str">
        <f aca="false">IF(F49="A",CONCATENATE(F49," ",G49," R",H49,",R",I49,",R",J49),IF(F49="B",CONCATENATE(F49," ",G49," R",H49,",R",I49,",",K49),CONCATENATE(F49," ",G49," ",K49)))</f>
        <v>B XOR R3,R1,12</v>
      </c>
      <c r="E49" s="74"/>
      <c r="F49" s="75" t="s">
        <v>233</v>
      </c>
      <c r="G49" s="71" t="s">
        <v>26</v>
      </c>
      <c r="H49" s="76" t="n">
        <v>3</v>
      </c>
      <c r="I49" s="76" t="n">
        <v>1</v>
      </c>
      <c r="J49" s="76" t="s">
        <v>231</v>
      </c>
      <c r="K49" s="76" t="n">
        <v>12</v>
      </c>
      <c r="L49" s="76" t="str">
        <f aca="false">RIGHT(DEC2HEX(K49,10),8)</f>
        <v>0000000C</v>
      </c>
      <c r="M49" s="72" t="n">
        <f aca="false">M48+1</f>
        <v>42</v>
      </c>
      <c r="N49" s="73"/>
      <c r="O49" s="72" t="n">
        <f aca="false">O48</f>
        <v>0</v>
      </c>
      <c r="P49" s="76" t="str">
        <f aca="false">P48</f>
        <v>00000002</v>
      </c>
      <c r="Q49" s="76" t="str">
        <f aca="false">Q48</f>
        <v>00000000</v>
      </c>
      <c r="R49" s="77" t="e">
        <f aca="false">DEC2HEX(bitwise_xor(K48,K49))</f>
        <v>#NAME?</v>
      </c>
      <c r="S49" s="28"/>
      <c r="T49" s="28"/>
      <c r="U49" s="28"/>
      <c r="V49" s="28"/>
      <c r="W49" s="28"/>
      <c r="X49" s="28"/>
      <c r="Y49" s="28"/>
      <c r="Z49" s="28"/>
      <c r="AA49" s="28"/>
      <c r="AB49" s="28"/>
      <c r="AC49" s="28"/>
      <c r="AD49" s="28"/>
      <c r="AE49" s="28"/>
      <c r="AF49" s="28"/>
      <c r="AG49" s="28"/>
      <c r="AH49" s="28"/>
      <c r="AI49" s="28"/>
      <c r="AJ49" s="28"/>
      <c r="AK49" s="28"/>
      <c r="AL49" s="28"/>
      <c r="AM49" s="28"/>
      <c r="AN49" s="28"/>
      <c r="AO49" s="28"/>
      <c r="AP49" s="28"/>
      <c r="AQ49" s="28"/>
      <c r="AR49" s="28"/>
      <c r="AS49" s="28"/>
      <c r="AT49" s="28"/>
      <c r="AU49" s="36"/>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row>
    <row collapsed="false" customFormat="false" customHeight="false" hidden="false" ht="32.25" outlineLevel="0" r="50">
      <c r="A50" s="30" t="str">
        <f aca="false">IF(AND(F50="B",IF(OR(G50="LD",G50="LDU",G50="ADD",G50="SUB",G50="AND",G50="OR",G50="XOR"),1,0)),CONCATENATE(G50,"#"),G50)</f>
        <v>STA</v>
      </c>
      <c r="B50" s="24" t="str">
        <f aca="false">"MEM["&amp;K50&amp;"] &lt;= R["&amp;H50&amp;"]"</f>
        <v>MEM[120] &lt;= R[3]</v>
      </c>
      <c r="C50" s="33" t="s">
        <v>256</v>
      </c>
      <c r="D50" s="24" t="str">
        <f aca="false">IF(F50="A",CONCATENATE(F50," ",G50," R",H50,",R",I50,",R",J50),IF(F50="B",CONCATENATE(F50," ",G50," R",H50,",R",I50,",",K50),CONCATENATE(F50," ",G50," ",K50)))</f>
        <v>B STA R3,R0,120</v>
      </c>
      <c r="E50" s="29"/>
      <c r="F50" s="53" t="s">
        <v>233</v>
      </c>
      <c r="G50" s="30" t="s">
        <v>142</v>
      </c>
      <c r="H50" s="31" t="n">
        <v>3</v>
      </c>
      <c r="I50" s="31" t="n">
        <v>0</v>
      </c>
      <c r="J50" s="31" t="s">
        <v>231</v>
      </c>
      <c r="K50" s="32" t="n">
        <v>120</v>
      </c>
      <c r="L50" s="78" t="str">
        <f aca="false">RIGHT(DEC2HEX(K50,10),8)</f>
        <v>00000078</v>
      </c>
      <c r="M50" s="24" t="n">
        <f aca="false">M49+1</f>
        <v>43</v>
      </c>
      <c r="N50" s="33"/>
      <c r="O50" s="24" t="n">
        <f aca="false">O49</f>
        <v>0</v>
      </c>
      <c r="P50" s="31" t="str">
        <f aca="false">P49</f>
        <v>00000002</v>
      </c>
      <c r="Q50" s="31" t="str">
        <f aca="false">Q49</f>
        <v>00000000</v>
      </c>
      <c r="R50" s="31" t="e">
        <f aca="false">R49</f>
        <v>#NAME?</v>
      </c>
      <c r="S50" s="28"/>
      <c r="T50" s="28"/>
      <c r="U50" s="28"/>
      <c r="V50" s="28"/>
      <c r="W50" s="28"/>
      <c r="X50" s="28"/>
      <c r="Y50" s="28"/>
      <c r="Z50" s="28"/>
      <c r="AA50" s="28"/>
      <c r="AB50" s="28"/>
      <c r="AC50" s="28"/>
      <c r="AD50" s="28"/>
      <c r="AE50" s="28"/>
      <c r="AF50" s="28"/>
      <c r="AG50" s="28"/>
      <c r="AH50" s="28"/>
      <c r="AI50" s="28"/>
      <c r="AJ50" s="28"/>
      <c r="AK50" s="28"/>
      <c r="AL50" s="28"/>
      <c r="AM50" s="28"/>
      <c r="AN50" s="28"/>
      <c r="AO50" s="28"/>
      <c r="AP50" s="28"/>
      <c r="AQ50" s="28"/>
      <c r="AR50" s="28"/>
      <c r="AS50" s="28"/>
      <c r="AT50" s="28"/>
      <c r="AU50" s="36"/>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row>
    <row collapsed="false" customFormat="false" customHeight="false" hidden="false" ht="32.25" outlineLevel="0" r="51">
      <c r="A51" s="30" t="str">
        <f aca="false">IF(AND(F51="B",IF(OR(G51="LD",G51="LDU",G51="ADD",G51="SUB",G51="AND",G51="OR",G51="XOR"),1,0)),CONCATENATE(G51,"#"),G51)</f>
        <v>LDA</v>
      </c>
      <c r="B51" s="24" t="str">
        <f aca="false">"R["&amp;H51&amp;"] &lt;= MEM["&amp;K51&amp;"] "</f>
        <v>R[1] &lt;= MEM[120] </v>
      </c>
      <c r="C51" s="33" t="s">
        <v>257</v>
      </c>
      <c r="D51" s="24" t="str">
        <f aca="false">IF(F51="A",CONCATENATE(F51," ",G51," R",H51,",R",I51,",R",J51),IF(F51="B",CONCATENATE(F51," ",G51," R",H51,",R",I51,",",K51),CONCATENATE(F51," ",G51," ",K51)))</f>
        <v>B LDA R1,R0,120</v>
      </c>
      <c r="E51" s="29"/>
      <c r="F51" s="53" t="s">
        <v>233</v>
      </c>
      <c r="G51" s="30" t="s">
        <v>137</v>
      </c>
      <c r="H51" s="31" t="n">
        <v>1</v>
      </c>
      <c r="I51" s="31" t="n">
        <v>0</v>
      </c>
      <c r="J51" s="31" t="s">
        <v>231</v>
      </c>
      <c r="K51" s="32" t="n">
        <v>120</v>
      </c>
      <c r="L51" s="78" t="str">
        <f aca="false">RIGHT(DEC2HEX(K51,10),8)</f>
        <v>00000078</v>
      </c>
      <c r="M51" s="24" t="n">
        <f aca="false">M50+1</f>
        <v>44</v>
      </c>
      <c r="N51" s="33"/>
      <c r="O51" s="24" t="n">
        <f aca="false">O50</f>
        <v>0</v>
      </c>
      <c r="P51" s="31" t="str">
        <f aca="false">P50</f>
        <v>00000002</v>
      </c>
      <c r="Q51" s="52" t="e">
        <f aca="false">R51</f>
        <v>#NAME?</v>
      </c>
      <c r="R51" s="31" t="e">
        <f aca="false">R50</f>
        <v>#NAME?</v>
      </c>
      <c r="S51" s="28"/>
      <c r="T51" s="28"/>
      <c r="U51" s="28"/>
      <c r="V51" s="28"/>
      <c r="W51" s="28"/>
      <c r="X51" s="28"/>
      <c r="Y51" s="28"/>
      <c r="Z51" s="28"/>
      <c r="AA51" s="28"/>
      <c r="AB51" s="28"/>
      <c r="AC51" s="28"/>
      <c r="AD51" s="28"/>
      <c r="AE51" s="28"/>
      <c r="AF51" s="28"/>
      <c r="AG51" s="28"/>
      <c r="AH51" s="28"/>
      <c r="AI51" s="28"/>
      <c r="AJ51" s="28"/>
      <c r="AK51" s="28"/>
      <c r="AL51" s="28"/>
      <c r="AM51" s="28"/>
      <c r="AN51" s="28"/>
      <c r="AO51" s="28"/>
      <c r="AP51" s="28"/>
      <c r="AQ51" s="28"/>
      <c r="AR51" s="28"/>
      <c r="AS51" s="28"/>
      <c r="AT51" s="28"/>
      <c r="AU51" s="36"/>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row>
    <row collapsed="false" customFormat="false" customHeight="false" hidden="false" ht="32.25" outlineLevel="0" r="52">
      <c r="A52" s="22" t="str">
        <f aca="false">IF(AND(F52="B",IF(OR(G52="LD",G52="LDU",G52="ADD",G52="SUB",G52="AND",G52="OR",G52="XOR"),1,0)),CONCATENATE(G52,"#"),G52)</f>
        <v>STIX</v>
      </c>
      <c r="B52" s="26" t="str">
        <f aca="false">"EA &lt;= (R["&amp;I52&amp;"] + "&amp;K52&amp;")"&amp;CHAR(10)&amp;"MEM["&amp;H52&amp;"] &lt;= R[EA]"</f>
        <v>EA &lt;= (R[1] + 118)
MEM[3] &lt;= R[EA]</v>
      </c>
      <c r="C52" s="25" t="s">
        <v>258</v>
      </c>
      <c r="D52" s="24" t="str">
        <f aca="false">IF(F52="A",CONCATENATE(F52," ",G52," R",H52,",R",I52,",R",J52),IF(F52="B",CONCATENATE(F52," ",G52," R",H52,",R",I52,",",K52),CONCATENATE(F52," ",G52," ",K52)))</f>
        <v>B STIX R3,R1,118</v>
      </c>
      <c r="E52" s="29"/>
      <c r="F52" s="53" t="s">
        <v>233</v>
      </c>
      <c r="G52" s="30" t="s">
        <v>152</v>
      </c>
      <c r="H52" s="31" t="n">
        <v>3</v>
      </c>
      <c r="I52" s="31" t="n">
        <v>1</v>
      </c>
      <c r="J52" s="31" t="s">
        <v>231</v>
      </c>
      <c r="K52" s="32" t="n">
        <v>118</v>
      </c>
      <c r="L52" s="78" t="str">
        <f aca="false">RIGHT(DEC2HEX(K52,10),8)</f>
        <v>00000076</v>
      </c>
      <c r="M52" s="24" t="n">
        <f aca="false">M51+1</f>
        <v>45</v>
      </c>
      <c r="N52" s="33"/>
      <c r="O52" s="24" t="n">
        <f aca="false">O51</f>
        <v>0</v>
      </c>
      <c r="P52" s="31" t="str">
        <f aca="false">P51</f>
        <v>00000002</v>
      </c>
      <c r="Q52" s="31" t="e">
        <f aca="false">Q51</f>
        <v>#NAME?</v>
      </c>
      <c r="R52" s="31" t="e">
        <f aca="false">R51</f>
        <v>#NAME?</v>
      </c>
      <c r="S52" s="28"/>
      <c r="T52" s="28"/>
      <c r="U52" s="28"/>
      <c r="V52" s="28"/>
      <c r="W52" s="28"/>
      <c r="X52" s="28"/>
      <c r="Y52" s="28"/>
      <c r="Z52" s="28"/>
      <c r="AA52" s="28"/>
      <c r="AB52" s="28"/>
      <c r="AC52" s="28"/>
      <c r="AD52" s="28"/>
      <c r="AE52" s="28"/>
      <c r="AF52" s="28"/>
      <c r="AG52" s="28"/>
      <c r="AH52" s="28"/>
      <c r="AI52" s="28"/>
      <c r="AJ52" s="28"/>
      <c r="AK52" s="28"/>
      <c r="AL52" s="28"/>
      <c r="AM52" s="28"/>
      <c r="AN52" s="28"/>
      <c r="AO52" s="28"/>
      <c r="AP52" s="28"/>
      <c r="AQ52" s="28"/>
      <c r="AR52" s="28"/>
      <c r="AS52" s="28"/>
      <c r="AT52" s="28"/>
      <c r="AU52" s="36"/>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row>
    <row collapsed="false" customFormat="false" customHeight="false" hidden="false" ht="16.5" outlineLevel="0" r="53">
      <c r="A53" s="24" t="str">
        <f aca="false">IF(AND(F53="B",IF(OR(G53="LD",G53="LDU",G53="ADD",G53="SUB",G53="AND",G53="OR",G53="XOR"),1,0)),CONCATENATE(G53,"#"),G53)</f>
        <v>LDU#</v>
      </c>
      <c r="B53" s="24" t="str">
        <f aca="false">"R["&amp;H53&amp;"] &lt;= "&amp;K53</f>
        <v>R[1] &lt;= 1</v>
      </c>
      <c r="C53" s="33" t="s">
        <v>231</v>
      </c>
      <c r="D53" s="24" t="str">
        <f aca="false">IF(F53="A",CONCATENATE(F53," ",G53," R",H53,",R",I53,",R",J53),IF(F53="B",CONCATENATE(F53," ",G53," R",H53,",R",I53,",",K53),CONCATENATE(F53," ",G53," ",K53)))</f>
        <v>B LDU R1,R0,1</v>
      </c>
      <c r="E53" s="29"/>
      <c r="F53" s="24" t="s">
        <v>233</v>
      </c>
      <c r="G53" s="24" t="str">
        <f aca="false">IF(K53&gt;=0,"LDU","LD")</f>
        <v>LDU</v>
      </c>
      <c r="H53" s="31" t="n">
        <v>1</v>
      </c>
      <c r="I53" s="31" t="n">
        <v>0</v>
      </c>
      <c r="J53" s="31" t="s">
        <v>231</v>
      </c>
      <c r="K53" s="31" t="n">
        <v>1</v>
      </c>
      <c r="L53" s="79" t="str">
        <f aca="false">RIGHT(DEC2HEX(K53,10),8)</f>
        <v>00000001</v>
      </c>
      <c r="M53" s="24" t="n">
        <f aca="false">M52+1</f>
        <v>46</v>
      </c>
      <c r="N53" s="33"/>
      <c r="O53" s="24" t="n">
        <f aca="false">O52</f>
        <v>0</v>
      </c>
      <c r="P53" s="80" t="str">
        <f aca="false">L53</f>
        <v>00000001</v>
      </c>
      <c r="Q53" s="31" t="e">
        <f aca="false">Q52</f>
        <v>#NAME?</v>
      </c>
      <c r="R53" s="31" t="e">
        <f aca="false">R52</f>
        <v>#NAME?</v>
      </c>
      <c r="S53" s="81"/>
      <c r="T53" s="28"/>
      <c r="U53" s="28"/>
      <c r="V53" s="28"/>
      <c r="W53" s="28"/>
      <c r="X53" s="28"/>
      <c r="Y53" s="28"/>
      <c r="Z53" s="28"/>
      <c r="AA53" s="28"/>
      <c r="AB53" s="28"/>
      <c r="AC53" s="28"/>
      <c r="AD53" s="28"/>
      <c r="AE53" s="28"/>
      <c r="AF53" s="28"/>
      <c r="AG53" s="28"/>
      <c r="AH53" s="28"/>
      <c r="AI53" s="28"/>
      <c r="AJ53" s="28"/>
      <c r="AK53" s="28"/>
      <c r="AL53" s="28"/>
      <c r="AM53" s="28"/>
      <c r="AN53" s="28"/>
      <c r="AO53" s="28"/>
      <c r="AP53" s="28"/>
      <c r="AQ53" s="28"/>
      <c r="AR53" s="28"/>
      <c r="AS53" s="28"/>
      <c r="AT53" s="28"/>
      <c r="AU53" s="36"/>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row>
    <row collapsed="false" customFormat="false" customHeight="false" hidden="false" ht="32.25" outlineLevel="0" r="54">
      <c r="A54" s="39" t="str">
        <f aca="false">IF(AND(F54="B",IF(OR(G54="LD",G54="LDU",G54="ADD",G54="SUB",G54="AND",G54="OR",G54="XOR"),1,0)),CONCATENATE(G54,"#"),G54)</f>
        <v>LDIX</v>
      </c>
      <c r="B54" s="43" t="str">
        <f aca="false">"EA &lt;= (R["&amp;I54&amp;"] + "&amp;K54&amp;")"&amp;CHAR(10)&amp;"R["&amp;H54&amp;"] &lt;= MEM[EA]"</f>
        <v>EA &lt;= (R[1] + 119)
R[1] &lt;= MEM[EA]</v>
      </c>
      <c r="C54" s="82" t="s">
        <v>259</v>
      </c>
      <c r="D54" s="24" t="str">
        <f aca="false">IF(F54="A",CONCATENATE(F54," ",G54," R",H54,",R",I54,",R",J54),IF(F54="B",CONCATENATE(F54," ",G54," R",H54,",R",I54,",",K54),CONCATENATE(F54," ",G54," ",K54)))</f>
        <v>B LDIX R1,R1,119</v>
      </c>
      <c r="E54" s="29"/>
      <c r="F54" s="53" t="s">
        <v>233</v>
      </c>
      <c r="G54" s="30" t="s">
        <v>147</v>
      </c>
      <c r="H54" s="31" t="n">
        <v>1</v>
      </c>
      <c r="I54" s="31" t="n">
        <v>1</v>
      </c>
      <c r="J54" s="31" t="s">
        <v>231</v>
      </c>
      <c r="K54" s="32" t="n">
        <v>119</v>
      </c>
      <c r="L54" s="78" t="str">
        <f aca="false">RIGHT(DEC2HEX(K54,10),8)</f>
        <v>00000077</v>
      </c>
      <c r="M54" s="24" t="n">
        <f aca="false">M53+1</f>
        <v>47</v>
      </c>
      <c r="N54" s="33"/>
      <c r="O54" s="24" t="n">
        <f aca="false">O53</f>
        <v>0</v>
      </c>
      <c r="P54" s="52" t="e">
        <f aca="false">R52</f>
        <v>#NAME?</v>
      </c>
      <c r="Q54" s="31" t="e">
        <f aca="false">Q53</f>
        <v>#NAME?</v>
      </c>
      <c r="R54" s="31" t="e">
        <f aca="false">R53</f>
        <v>#NAME?</v>
      </c>
      <c r="S54" s="81"/>
      <c r="T54" s="28"/>
      <c r="U54" s="28"/>
      <c r="V54" s="28"/>
      <c r="W54" s="28"/>
      <c r="X54" s="28"/>
      <c r="Y54" s="28"/>
      <c r="Z54" s="28"/>
      <c r="AA54" s="28"/>
      <c r="AB54" s="28"/>
      <c r="AC54" s="28"/>
      <c r="AD54" s="28"/>
      <c r="AE54" s="28"/>
      <c r="AF54" s="28"/>
      <c r="AG54" s="28"/>
      <c r="AH54" s="28"/>
      <c r="AI54" s="28"/>
      <c r="AJ54" s="28"/>
      <c r="AK54" s="28"/>
      <c r="AL54" s="28"/>
      <c r="AM54" s="28"/>
      <c r="AN54" s="28"/>
      <c r="AO54" s="28"/>
      <c r="AP54" s="28"/>
      <c r="AQ54" s="28"/>
      <c r="AR54" s="28"/>
      <c r="AS54" s="28"/>
      <c r="AT54" s="28"/>
      <c r="AU54" s="36"/>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row>
    <row collapsed="false" customFormat="false" customHeight="false" hidden="false" ht="16.5" outlineLevel="0" r="55">
      <c r="A55" s="24" t="str">
        <f aca="false">IF(AND(F55="B",IF(OR(G55="LD",G55="LDU",G55="ADD",G55="SUB",G55="AND",G55="OR",G55="XOR"),1,0)),CONCATENATE(G55,"#"),G55)</f>
        <v>LDU#</v>
      </c>
      <c r="B55" s="24" t="str">
        <f aca="false">"R["&amp;H55&amp;"] &lt;= "&amp;K55</f>
        <v>R[1] &lt;= 50</v>
      </c>
      <c r="C55" s="33" t="s">
        <v>231</v>
      </c>
      <c r="D55" s="24" t="str">
        <f aca="false">IF(F55="A",CONCATENATE(F55," ",G55," R",H55,",R",I55,",R",J55),IF(F55="B",CONCATENATE(F55," ",G55," R",H55,",R",I55,",",K55),CONCATENATE(F55," ",G55," ",K55)))</f>
        <v>B LDU R1,R0,50</v>
      </c>
      <c r="E55" s="29"/>
      <c r="F55" s="24" t="s">
        <v>233</v>
      </c>
      <c r="G55" s="24" t="str">
        <f aca="false">IF(K55&gt;=0,"LDU","LD")</f>
        <v>LDU</v>
      </c>
      <c r="H55" s="31" t="n">
        <v>1</v>
      </c>
      <c r="I55" s="31" t="n">
        <v>0</v>
      </c>
      <c r="J55" s="31" t="s">
        <v>231</v>
      </c>
      <c r="K55" s="31" t="n">
        <v>50</v>
      </c>
      <c r="L55" s="79" t="str">
        <f aca="false">RIGHT(DEC2HEX(K55,10),8)</f>
        <v>00000032</v>
      </c>
      <c r="M55" s="24" t="n">
        <f aca="false">M54+1</f>
        <v>48</v>
      </c>
      <c r="N55" s="33"/>
      <c r="O55" s="24" t="n">
        <f aca="false">O54</f>
        <v>0</v>
      </c>
      <c r="P55" s="80" t="str">
        <f aca="false">L55</f>
        <v>00000032</v>
      </c>
      <c r="Q55" s="31" t="e">
        <f aca="false">Q54</f>
        <v>#NAME?</v>
      </c>
      <c r="R55" s="31" t="e">
        <f aca="false">R54</f>
        <v>#NAME?</v>
      </c>
      <c r="S55" s="28"/>
      <c r="T55" s="28"/>
      <c r="U55" s="28"/>
      <c r="V55" s="28"/>
      <c r="W55" s="28"/>
      <c r="X55" s="28"/>
      <c r="Y55" s="28"/>
      <c r="Z55" s="28"/>
      <c r="AA55" s="28"/>
      <c r="AB55" s="28"/>
      <c r="AC55" s="28"/>
      <c r="AD55" s="28"/>
      <c r="AE55" s="28"/>
      <c r="AF55" s="28"/>
      <c r="AG55" s="28"/>
      <c r="AH55" s="28"/>
      <c r="AI55" s="28"/>
      <c r="AJ55" s="28"/>
      <c r="AK55" s="28"/>
      <c r="AL55" s="28"/>
      <c r="AM55" s="28"/>
      <c r="AN55" s="28"/>
      <c r="AO55" s="28"/>
      <c r="AP55" s="28"/>
      <c r="AQ55" s="28"/>
      <c r="AR55" s="28"/>
      <c r="AS55" s="28"/>
      <c r="AT55" s="28"/>
      <c r="AU55" s="36"/>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row>
    <row collapsed="false" customFormat="false" customHeight="false" hidden="false" ht="32.25" outlineLevel="0" r="56">
      <c r="A56" s="30" t="str">
        <f aca="false">IF(AND(F56="B",IF(OR(G56="LD",G56="LDU",G56="ADD",G56="SUB",G56="AND",G56="OR",G56="XOR"),1,0)),CONCATENATE(G56,"#"),G56)</f>
        <v>MOVE</v>
      </c>
      <c r="B56" s="24" t="str">
        <f aca="false">"R["&amp;H56&amp;"] &lt;= R["&amp;I56&amp;"]"</f>
        <v>R[3] &lt;= R[1]</v>
      </c>
      <c r="C56" s="33" t="s">
        <v>260</v>
      </c>
      <c r="D56" s="24" t="str">
        <f aca="false">IF(F56="A",CONCATENATE(F56," ",G56," R",H56,",R",I56,",R",J56),IF(F56="B",CONCATENATE(F56," ",G56," R",H56,",R",I56,",",K56),CONCATENATE(F56," ",G56," ",K56)))</f>
        <v>A MOVE R3,R1,R2</v>
      </c>
      <c r="E56" s="29"/>
      <c r="F56" s="30" t="s">
        <v>237</v>
      </c>
      <c r="G56" s="30" t="s">
        <v>57</v>
      </c>
      <c r="H56" s="31" t="n">
        <v>3</v>
      </c>
      <c r="I56" s="31" t="n">
        <v>1</v>
      </c>
      <c r="J56" s="31" t="n">
        <v>2</v>
      </c>
      <c r="K56" s="31" t="s">
        <v>231</v>
      </c>
      <c r="L56" s="83" t="s">
        <v>231</v>
      </c>
      <c r="M56" s="24" t="n">
        <f aca="false">M55+1</f>
        <v>49</v>
      </c>
      <c r="N56" s="33"/>
      <c r="O56" s="24" t="n">
        <f aca="false">O55</f>
        <v>0</v>
      </c>
      <c r="P56" s="31" t="str">
        <f aca="false">P55</f>
        <v>00000032</v>
      </c>
      <c r="Q56" s="31" t="e">
        <f aca="false">Q55</f>
        <v>#NAME?</v>
      </c>
      <c r="R56" s="52" t="str">
        <f aca="false">P56</f>
        <v>00000032</v>
      </c>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c r="AS56" s="28"/>
      <c r="AT56" s="28"/>
      <c r="AU56" s="36"/>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row>
    <row collapsed="false" customFormat="false" customHeight="false" hidden="false" ht="16.5" outlineLevel="0" r="57">
      <c r="A57" s="24" t="str">
        <f aca="false">IF(AND(F57="B",IF(OR(G57="LD",G57="LDU",G57="ADD",G57="SUB",G57="AND",G57="OR",G57="XOR"),1,0)),CONCATENATE(G57,"#"),G57)</f>
        <v>LDU#</v>
      </c>
      <c r="B57" s="24" t="str">
        <f aca="false">"R["&amp;H57&amp;"] &lt;= "&amp;K57</f>
        <v>R[1] &lt;= 106</v>
      </c>
      <c r="C57" s="33" t="s">
        <v>231</v>
      </c>
      <c r="D57" s="24" t="str">
        <f aca="false">IF(F57="A",CONCATENATE(F57," ",G57," R",H57,",R",I57,",R",J57),IF(F57="B",CONCATENATE(F57," ",G57," R",H57,",R",I57,",",K57),CONCATENATE(F57," ",G57," ",K57)))</f>
        <v>B LDU R1,R0,106</v>
      </c>
      <c r="E57" s="29"/>
      <c r="F57" s="24" t="s">
        <v>233</v>
      </c>
      <c r="G57" s="24" t="str">
        <f aca="false">IF(K57&gt;=0,"LDU","LD")</f>
        <v>LDU</v>
      </c>
      <c r="H57" s="31" t="n">
        <v>1</v>
      </c>
      <c r="I57" s="31" t="n">
        <v>0</v>
      </c>
      <c r="J57" s="31" t="s">
        <v>231</v>
      </c>
      <c r="K57" s="31" t="n">
        <v>106</v>
      </c>
      <c r="L57" s="79" t="str">
        <f aca="false">RIGHT(DEC2HEX(K57,10),8)</f>
        <v>0000006A</v>
      </c>
      <c r="M57" s="24" t="n">
        <f aca="false">M56+1</f>
        <v>50</v>
      </c>
      <c r="N57" s="33"/>
      <c r="O57" s="24" t="n">
        <f aca="false">O56</f>
        <v>0</v>
      </c>
      <c r="P57" s="80" t="str">
        <f aca="false">L57</f>
        <v>0000006A</v>
      </c>
      <c r="Q57" s="31" t="e">
        <f aca="false">Q56</f>
        <v>#NAME?</v>
      </c>
      <c r="R57" s="31" t="str">
        <f aca="false">R56</f>
        <v>00000032</v>
      </c>
      <c r="S57" s="28"/>
      <c r="T57" s="28"/>
      <c r="U57" s="28"/>
      <c r="V57" s="28"/>
      <c r="W57" s="28"/>
      <c r="X57" s="28"/>
      <c r="Y57" s="28"/>
      <c r="Z57" s="28"/>
      <c r="AA57" s="28"/>
      <c r="AB57" s="28"/>
      <c r="AC57" s="28"/>
      <c r="AD57" s="28"/>
      <c r="AE57" s="28"/>
      <c r="AF57" s="28"/>
      <c r="AG57" s="28"/>
      <c r="AH57" s="28"/>
      <c r="AI57" s="28"/>
      <c r="AJ57" s="28"/>
      <c r="AK57" s="28"/>
      <c r="AL57" s="28"/>
      <c r="AM57" s="28"/>
      <c r="AN57" s="28"/>
      <c r="AO57" s="28"/>
      <c r="AP57" s="28"/>
      <c r="AQ57" s="28"/>
      <c r="AR57" s="28"/>
      <c r="AS57" s="28"/>
      <c r="AT57" s="28"/>
      <c r="AU57" s="36"/>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row>
    <row collapsed="false" customFormat="false" customHeight="false" hidden="false" ht="32.25" outlineLevel="0" r="58">
      <c r="A58" s="30" t="str">
        <f aca="false">IF(AND(F58="B",IF(OR(G58="LD",G58="LDU",G58="ADD",G58="SUB",G58="AND",G58="OR",G58="XOR"),1,0)),CONCATENATE(G58,"#"),G58)</f>
        <v>LBI</v>
      </c>
      <c r="B58" s="43" t="e">
        <f aca="false">"EA &lt;= (R["&amp;I58&amp;"] + R["&amp;J58&amp;"])="&amp;HEX2DEC(Q58)+HEX2DEC(P58)&amp;CHAR(10)&amp;"R["&amp;H58&amp;"] &lt;= MEM[EA]"</f>
        <v>#NAME?</v>
      </c>
      <c r="C58" s="33" t="s">
        <v>261</v>
      </c>
      <c r="D58" s="24" t="str">
        <f aca="false">IF(F58="A",CONCATENATE(F58," ",G58," R",H58,",R",I58,",R",J58),IF(F58="B",CONCATENATE(F58," ",G58," R",H58,",R",I58,",",K58),CONCATENATE(F58," ",G58," ",K58)))</f>
        <v>A LBI R3,R1,R2</v>
      </c>
      <c r="E58" s="29"/>
      <c r="F58" s="30" t="s">
        <v>237</v>
      </c>
      <c r="G58" s="30" t="s">
        <v>61</v>
      </c>
      <c r="H58" s="31" t="n">
        <v>3</v>
      </c>
      <c r="I58" s="31" t="n">
        <v>1</v>
      </c>
      <c r="J58" s="31" t="n">
        <v>2</v>
      </c>
      <c r="K58" s="31" t="s">
        <v>231</v>
      </c>
      <c r="L58" s="83" t="s">
        <v>231</v>
      </c>
      <c r="M58" s="24" t="n">
        <f aca="false">M57+1</f>
        <v>51</v>
      </c>
      <c r="N58" s="33"/>
      <c r="O58" s="24" t="n">
        <f aca="false">O57</f>
        <v>0</v>
      </c>
      <c r="P58" s="31" t="str">
        <f aca="false">P57</f>
        <v>0000006A</v>
      </c>
      <c r="Q58" s="31" t="e">
        <f aca="false">Q57</f>
        <v>#NAME?</v>
      </c>
      <c r="R58" s="52" t="e">
        <f aca="false">P54</f>
        <v>#NAME?</v>
      </c>
      <c r="S58" s="28"/>
      <c r="T58" s="84"/>
      <c r="U58" s="28"/>
      <c r="V58" s="28"/>
      <c r="W58" s="28"/>
      <c r="X58" s="28"/>
      <c r="Y58" s="28"/>
      <c r="Z58" s="28"/>
      <c r="AA58" s="28"/>
      <c r="AB58" s="28"/>
      <c r="AC58" s="28"/>
      <c r="AD58" s="28"/>
      <c r="AE58" s="28"/>
      <c r="AF58" s="28"/>
      <c r="AG58" s="28"/>
      <c r="AH58" s="28"/>
      <c r="AI58" s="28"/>
      <c r="AJ58" s="28"/>
      <c r="AK58" s="28"/>
      <c r="AL58" s="28"/>
      <c r="AM58" s="28"/>
      <c r="AN58" s="28"/>
      <c r="AO58" s="28"/>
      <c r="AP58" s="28"/>
      <c r="AQ58" s="28"/>
      <c r="AR58" s="28"/>
      <c r="AS58" s="28"/>
      <c r="AT58" s="28"/>
      <c r="AU58" s="36"/>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row>
    <row collapsed="false" customFormat="false" customHeight="false" hidden="false" ht="16.5" outlineLevel="0" r="59">
      <c r="A59" s="24" t="str">
        <f aca="false">IF(AND(F59="B",IF(OR(G59="LD",G59="LDU",G59="ADD",G59="SUB",G59="AND",G59="OR",G59="XOR"),1,0)),CONCATENATE(G59,"#"),G59)</f>
        <v>LDU#</v>
      </c>
      <c r="B59" s="24" t="str">
        <f aca="false">"R["&amp;H59&amp;"] &lt;= "&amp;K59</f>
        <v>R[2] &lt;= 120</v>
      </c>
      <c r="C59" s="33" t="s">
        <v>231</v>
      </c>
      <c r="D59" s="24" t="str">
        <f aca="false">IF(F59="A",CONCATENATE(F59," ",G59," R",H59,",R",I59,",R",J59),IF(F59="B",CONCATENATE(F59," ",G59," R",H59,",R",I59,",",K59),CONCATENATE(F59," ",G59," ",K59)))</f>
        <v>B LDU R2,R0,120</v>
      </c>
      <c r="E59" s="29"/>
      <c r="F59" s="24" t="s">
        <v>233</v>
      </c>
      <c r="G59" s="24" t="str">
        <f aca="false">IF(K59&gt;=0,"LDU","LD")</f>
        <v>LDU</v>
      </c>
      <c r="H59" s="31" t="n">
        <v>2</v>
      </c>
      <c r="I59" s="31" t="n">
        <v>0</v>
      </c>
      <c r="J59" s="31" t="s">
        <v>231</v>
      </c>
      <c r="K59" s="31" t="n">
        <v>120</v>
      </c>
      <c r="L59" s="79" t="str">
        <f aca="false">RIGHT(DEC2HEX(K59,10),8)</f>
        <v>00000078</v>
      </c>
      <c r="M59" s="24" t="n">
        <f aca="false">M58+1</f>
        <v>52</v>
      </c>
      <c r="N59" s="33"/>
      <c r="O59" s="24" t="n">
        <f aca="false">O58</f>
        <v>0</v>
      </c>
      <c r="P59" s="31" t="str">
        <f aca="false">P58</f>
        <v>0000006A</v>
      </c>
      <c r="Q59" s="31" t="str">
        <f aca="false">L59</f>
        <v>00000078</v>
      </c>
      <c r="R59" s="31" t="e">
        <f aca="false">R58</f>
        <v>#NAME?</v>
      </c>
      <c r="S59" s="28"/>
      <c r="T59" s="28"/>
      <c r="U59" s="28"/>
      <c r="V59" s="28"/>
      <c r="W59" s="28"/>
      <c r="X59" s="28"/>
      <c r="Y59" s="28"/>
      <c r="Z59" s="28"/>
      <c r="AA59" s="28"/>
      <c r="AB59" s="28"/>
      <c r="AC59" s="28"/>
      <c r="AD59" s="28"/>
      <c r="AE59" s="28"/>
      <c r="AF59" s="28"/>
      <c r="AG59" s="28"/>
      <c r="AH59" s="28"/>
      <c r="AI59" s="28"/>
      <c r="AJ59" s="28"/>
      <c r="AK59" s="28"/>
      <c r="AL59" s="28"/>
      <c r="AM59" s="28"/>
      <c r="AN59" s="28"/>
      <c r="AO59" s="28"/>
      <c r="AP59" s="28"/>
      <c r="AQ59" s="28"/>
      <c r="AR59" s="28"/>
      <c r="AS59" s="28"/>
      <c r="AT59" s="28"/>
      <c r="AU59" s="36"/>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row>
    <row collapsed="false" customFormat="false" customHeight="false" hidden="false" ht="32.25" outlineLevel="0" r="60">
      <c r="A60" s="30" t="str">
        <f aca="false">IF(AND(F60="B",IF(OR(G60="LD",G60="LDU",G60="ADD",G60="SUB",G60="AND",G60="OR",G60="XOR"),1,0)),CONCATENATE(G60,"#"),G60)</f>
        <v>LDRi</v>
      </c>
      <c r="B60" s="43" t="str">
        <f aca="false">"EA &lt;= (R["&amp;J60&amp;"])"&amp;CHAR(10)&amp;"R["&amp;H60&amp;"] &lt;= MEM[EA]"</f>
        <v>EA &lt;= (R[2])
R[1] &lt;= MEM[EA]</v>
      </c>
      <c r="C60" s="33" t="s">
        <v>262</v>
      </c>
      <c r="D60" s="24" t="str">
        <f aca="false">IF(F60="A",CONCATENATE(F60," ",G60," R",H60,",R",I60,",R",J60),IF(F60="B",CONCATENATE(F60," ",G60," R",H60,",R",I60,",",K60),CONCATENATE(F60," ",G60," ",K60)))</f>
        <v>A LDRi R1,R1,R2</v>
      </c>
      <c r="E60" s="29"/>
      <c r="F60" s="30" t="s">
        <v>237</v>
      </c>
      <c r="G60" s="30" t="s">
        <v>65</v>
      </c>
      <c r="H60" s="31" t="n">
        <v>1</v>
      </c>
      <c r="I60" s="31" t="n">
        <v>1</v>
      </c>
      <c r="J60" s="31" t="n">
        <v>2</v>
      </c>
      <c r="K60" s="31" t="s">
        <v>231</v>
      </c>
      <c r="L60" s="83" t="s">
        <v>231</v>
      </c>
      <c r="M60" s="24" t="n">
        <f aca="false">M59+1</f>
        <v>53</v>
      </c>
      <c r="N60" s="33"/>
      <c r="O60" s="24" t="n">
        <f aca="false">O59</f>
        <v>0</v>
      </c>
      <c r="P60" s="52" t="e">
        <f aca="false">R58</f>
        <v>#NAME?</v>
      </c>
      <c r="Q60" s="31" t="str">
        <f aca="false">Q59</f>
        <v>00000078</v>
      </c>
      <c r="R60" s="31" t="e">
        <f aca="false">R59</f>
        <v>#NAME?</v>
      </c>
      <c r="S60" s="28"/>
      <c r="T60" s="84"/>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c r="AS60" s="28"/>
      <c r="AT60" s="28"/>
      <c r="AU60" s="36"/>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row>
    <row collapsed="false" customFormat="false" customHeight="false" hidden="false" ht="16.5" outlineLevel="0" r="61">
      <c r="A61" s="24"/>
      <c r="B61" s="24"/>
      <c r="C61" s="33"/>
      <c r="D61" s="82"/>
      <c r="E61" s="37"/>
      <c r="F61" s="43"/>
      <c r="G61" s="43"/>
      <c r="H61" s="40"/>
      <c r="I61" s="40"/>
      <c r="J61" s="40"/>
      <c r="K61" s="40"/>
      <c r="L61" s="85"/>
      <c r="M61" s="43" t="n">
        <f aca="false">M60+1</f>
        <v>54</v>
      </c>
      <c r="N61" s="82"/>
      <c r="O61" s="43" t="n">
        <f aca="false">O60</f>
        <v>0</v>
      </c>
      <c r="P61" s="40"/>
      <c r="Q61" s="40"/>
      <c r="R61" s="40"/>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c r="AS61" s="28"/>
      <c r="AT61" s="28"/>
      <c r="AU61" s="36"/>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row>
    <row collapsed="false" customFormat="false" customHeight="false" hidden="false" ht="17.25" outlineLevel="0" r="62">
      <c r="A62" s="24"/>
      <c r="B62" s="24"/>
      <c r="C62" s="33"/>
      <c r="D62" s="33"/>
      <c r="E62" s="29"/>
      <c r="F62" s="24"/>
      <c r="G62" s="24"/>
      <c r="H62" s="31"/>
      <c r="I62" s="31"/>
      <c r="J62" s="31"/>
      <c r="K62" s="32"/>
      <c r="L62" s="83"/>
      <c r="M62" s="24" t="n">
        <f aca="false">M61+1</f>
        <v>55</v>
      </c>
      <c r="N62" s="33"/>
      <c r="O62" s="24" t="n">
        <f aca="false">O61</f>
        <v>0</v>
      </c>
      <c r="P62" s="31"/>
      <c r="Q62" s="31"/>
      <c r="R62" s="31"/>
      <c r="S62" s="28"/>
      <c r="T62" s="28"/>
      <c r="U62" s="28"/>
      <c r="V62" s="28"/>
      <c r="W62" s="28"/>
      <c r="X62" s="28"/>
      <c r="Y62" s="28"/>
      <c r="Z62" s="28"/>
      <c r="AA62" s="28"/>
      <c r="AB62" s="28"/>
      <c r="AC62" s="28"/>
      <c r="AD62" s="28"/>
      <c r="AE62" s="28"/>
      <c r="AF62" s="28"/>
      <c r="AG62" s="28"/>
      <c r="AH62" s="28"/>
      <c r="AI62" s="28"/>
      <c r="AJ62" s="28"/>
      <c r="AK62" s="28"/>
      <c r="AL62" s="28"/>
      <c r="AM62" s="28"/>
      <c r="AN62" s="28"/>
      <c r="AO62" s="28"/>
      <c r="AP62" s="28"/>
      <c r="AQ62" s="28"/>
      <c r="AR62" s="28"/>
      <c r="AS62" s="28"/>
      <c r="AT62" s="28"/>
      <c r="AU62" s="36"/>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row>
    <row collapsed="false" customFormat="false" customHeight="false" hidden="false" ht="17.25" outlineLevel="0" r="63">
      <c r="A63" s="24" t="str">
        <f aca="false">IF(AND(F63="B",IF(OR(G63="LD",G63="LDU",G63="ADD",G63="SUB",G63="AND",G63="OR",G63="XOR"),1,0)),CONCATENATE(G63,"#"),G63)</f>
        <v>LDU#</v>
      </c>
      <c r="B63" s="24" t="str">
        <f aca="false">"R["&amp;H63&amp;"] &lt;= "&amp;K63</f>
        <v>R[1] &lt;= 32</v>
      </c>
      <c r="C63" s="33" t="s">
        <v>231</v>
      </c>
      <c r="D63" s="33" t="str">
        <f aca="false">IF(F63="A",CONCATENATE(F63," ",G63," R",H63,",R",I63,",R",J63),IF(F63="B",CONCATENATE(F63," ",G63," R",H63,",R",I63,",",K63),CONCATENATE(F63," ",G63," ",K63)))</f>
        <v>B LDU R1,R0,32</v>
      </c>
      <c r="E63" s="29"/>
      <c r="F63" s="24" t="s">
        <v>233</v>
      </c>
      <c r="G63" s="24" t="str">
        <f aca="false">IF(K63&gt;=0,"LDU","LD")</f>
        <v>LDU</v>
      </c>
      <c r="H63" s="31" t="n">
        <v>1</v>
      </c>
      <c r="I63" s="31" t="n">
        <v>0</v>
      </c>
      <c r="J63" s="31" t="s">
        <v>231</v>
      </c>
      <c r="K63" s="31" t="n">
        <v>32</v>
      </c>
      <c r="L63" s="79" t="str">
        <f aca="false">RIGHT(DEC2HEX(K63,10),8)</f>
        <v>00000020</v>
      </c>
      <c r="M63" s="24" t="n">
        <f aca="false">M62+1</f>
        <v>56</v>
      </c>
      <c r="N63" s="33"/>
      <c r="O63" s="24" t="n">
        <f aca="false">O62</f>
        <v>0</v>
      </c>
      <c r="P63" s="31" t="str">
        <f aca="false">L63</f>
        <v>00000020</v>
      </c>
      <c r="Q63" s="31" t="str">
        <f aca="false">L63</f>
        <v>00000020</v>
      </c>
      <c r="R63" s="31" t="n">
        <f aca="false">R62</f>
        <v>0</v>
      </c>
      <c r="S63" s="28"/>
      <c r="T63" s="28"/>
      <c r="U63" s="28"/>
      <c r="V63" s="28"/>
      <c r="W63" s="28"/>
      <c r="X63" s="28"/>
      <c r="Y63" s="28"/>
      <c r="Z63" s="28"/>
      <c r="AA63" s="28"/>
      <c r="AB63" s="28"/>
      <c r="AC63" s="28"/>
      <c r="AD63" s="28"/>
      <c r="AE63" s="28"/>
      <c r="AF63" s="28"/>
      <c r="AG63" s="28"/>
      <c r="AH63" s="28"/>
      <c r="AI63" s="28"/>
      <c r="AJ63" s="28"/>
      <c r="AK63" s="28"/>
      <c r="AL63" s="28"/>
      <c r="AM63" s="28"/>
      <c r="AN63" s="28"/>
      <c r="AO63" s="28"/>
      <c r="AP63" s="28"/>
      <c r="AQ63" s="28"/>
      <c r="AR63" s="28"/>
      <c r="AS63" s="28"/>
      <c r="AT63" s="28"/>
      <c r="AU63" s="36"/>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row>
    <row collapsed="false" customFormat="false" customHeight="false" hidden="false" ht="32.25" outlineLevel="0" r="64">
      <c r="A64" s="39" t="str">
        <f aca="false">IF(AND(F64="B",IF(OR(G64="LD",G64="LDU",G64="ADD",G64="SUB",G64="AND",G64="OR",G64="XOR"),1,0)),CONCATENATE(G64,"#"),G64)</f>
        <v>JMP</v>
      </c>
      <c r="B64" s="43" t="str">
        <f aca="false">"PC &lt;= R["&amp;I64&amp;"] "</f>
        <v>PC &lt;= R[1] </v>
      </c>
      <c r="C64" s="82" t="s">
        <v>259</v>
      </c>
      <c r="D64" s="86" t="str">
        <f aca="false">IF(F64="A",CONCATENATE(F64," ",G64," R",H64,",R",I64,",R",J64),IF(F64="B",CONCATENATE(F64," ",G64," R",H64,",R",I64,",",K64),CONCATENATE(F64," ",G64," ",K64)))</f>
        <v>A JMP R1,R1,R0</v>
      </c>
      <c r="E64" s="57"/>
      <c r="F64" s="22" t="s">
        <v>237</v>
      </c>
      <c r="G64" s="22" t="s">
        <v>86</v>
      </c>
      <c r="H64" s="58" t="n">
        <v>1</v>
      </c>
      <c r="I64" s="58" t="n">
        <v>1</v>
      </c>
      <c r="J64" s="58" t="n">
        <v>0</v>
      </c>
      <c r="K64" s="68" t="s">
        <v>231</v>
      </c>
      <c r="L64" s="87" t="s">
        <v>231</v>
      </c>
      <c r="M64" s="88" t="str">
        <f aca="false">"MEM["&amp;I64&amp;"]"</f>
        <v>MEM[1]</v>
      </c>
      <c r="N64" s="25"/>
      <c r="O64" s="26" t="n">
        <f aca="false">O63</f>
        <v>0</v>
      </c>
      <c r="P64" s="58" t="str">
        <f aca="false">P63</f>
        <v>00000020</v>
      </c>
      <c r="Q64" s="58" t="str">
        <f aca="false">Q63</f>
        <v>00000020</v>
      </c>
      <c r="R64" s="58" t="n">
        <f aca="false">R63</f>
        <v>0</v>
      </c>
      <c r="S64" s="28"/>
      <c r="T64" s="28"/>
      <c r="U64" s="28"/>
      <c r="V64" s="28"/>
      <c r="W64" s="28"/>
      <c r="X64" s="28"/>
      <c r="Y64" s="28"/>
      <c r="Z64" s="28"/>
      <c r="AA64" s="28"/>
      <c r="AB64" s="28"/>
      <c r="AC64" s="28"/>
      <c r="AD64" s="28"/>
      <c r="AE64" s="28"/>
      <c r="AF64" s="28"/>
      <c r="AG64" s="28"/>
      <c r="AH64" s="28"/>
      <c r="AI64" s="28"/>
      <c r="AJ64" s="28"/>
      <c r="AK64" s="28"/>
      <c r="AL64" s="28"/>
      <c r="AM64" s="28"/>
      <c r="AN64" s="28"/>
      <c r="AO64" s="28"/>
      <c r="AP64" s="28"/>
      <c r="AQ64" s="28"/>
      <c r="AR64" s="28"/>
      <c r="AS64" s="28"/>
      <c r="AT64" s="28"/>
      <c r="AU64" s="36"/>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row>
    <row collapsed="false" customFormat="false" customHeight="false" hidden="false" ht="16.5" outlineLevel="0" r="65">
      <c r="A65" s="24"/>
      <c r="B65" s="43"/>
      <c r="C65" s="33"/>
      <c r="D65" s="24"/>
      <c r="E65" s="29"/>
      <c r="F65" s="24"/>
      <c r="G65" s="24"/>
      <c r="H65" s="31"/>
      <c r="I65" s="31"/>
      <c r="J65" s="31"/>
      <c r="K65" s="31"/>
      <c r="L65" s="83"/>
      <c r="M65" s="24" t="e">
        <f aca="false">M64+1</f>
        <v>#VALUE!</v>
      </c>
      <c r="N65" s="33"/>
      <c r="O65" s="24" t="n">
        <f aca="false">O64</f>
        <v>0</v>
      </c>
      <c r="P65" s="31"/>
      <c r="Q65" s="31"/>
      <c r="R65" s="31"/>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c r="AQ65" s="28"/>
      <c r="AR65" s="28"/>
      <c r="AS65" s="28"/>
      <c r="AT65" s="28"/>
      <c r="AU65" s="36"/>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row>
    <row collapsed="false" customFormat="false" customHeight="false" hidden="false" ht="17.25" outlineLevel="0" r="66">
      <c r="A66" s="24"/>
      <c r="B66" s="24"/>
      <c r="C66" s="33"/>
      <c r="D66" s="24"/>
      <c r="E66" s="29"/>
      <c r="F66" s="31"/>
      <c r="G66" s="31"/>
      <c r="H66" s="31"/>
      <c r="I66" s="31"/>
      <c r="J66" s="24"/>
      <c r="K66" s="24"/>
      <c r="L66" s="24"/>
      <c r="M66" s="24" t="e">
        <f aca="false">M65+1</f>
        <v>#VALUE!</v>
      </c>
      <c r="N66" s="33"/>
      <c r="O66" s="24" t="n">
        <f aca="false">O65</f>
        <v>0</v>
      </c>
      <c r="P66" s="24"/>
      <c r="Q66" s="24"/>
      <c r="R66" s="89"/>
      <c r="S66" s="28"/>
      <c r="T66" s="28"/>
      <c r="U66" s="28"/>
      <c r="V66" s="28"/>
      <c r="W66" s="28"/>
      <c r="X66" s="28"/>
      <c r="Y66" s="28"/>
      <c r="Z66" s="28"/>
      <c r="AA66" s="28"/>
      <c r="AB66" s="28"/>
      <c r="AC66" s="28"/>
      <c r="AD66" s="28"/>
      <c r="AE66" s="28"/>
      <c r="AF66" s="28"/>
      <c r="AG66" s="28"/>
      <c r="AH66" s="28"/>
      <c r="AI66" s="28"/>
      <c r="AJ66" s="28"/>
      <c r="AK66" s="28"/>
      <c r="AL66" s="28"/>
      <c r="AM66" s="28"/>
      <c r="AN66" s="28"/>
      <c r="AO66" s="28"/>
      <c r="AP66" s="28"/>
      <c r="AQ66" s="28"/>
      <c r="AR66" s="28"/>
      <c r="AS66" s="28"/>
      <c r="AT66" s="28"/>
      <c r="AU66" s="36"/>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row>
    <row collapsed="false" customFormat="false" customHeight="false" hidden="false" ht="17.25" outlineLevel="0" r="67">
      <c r="A67" s="24" t="str">
        <f aca="false">IF(AND(F67="B",IF(OR(G67="LD",G67="LDU",G67="ADD",G67="SUB",G67="AND",G67="OR",G67="XOR"),1,0)),CONCATENATE(G67,"#"),G67)</f>
        <v>LDU#</v>
      </c>
      <c r="B67" s="24" t="str">
        <f aca="false">"R["&amp;H67&amp;"] &lt;= "&amp;K67</f>
        <v>R[1] &lt;= 32</v>
      </c>
      <c r="C67" s="33" t="s">
        <v>231</v>
      </c>
      <c r="D67" s="43" t="str">
        <f aca="false">IF(F67="A",CONCATENATE(F67," ",G67," R",H67,",R",I67,",R",J67),IF(F67="B",CONCATENATE(F67," ",G67," R",H67,",R",I67,",",K67),CONCATENATE(F67," ",G67," ",K67)))</f>
        <v>B LDU R1,R0,32</v>
      </c>
      <c r="E67" s="37"/>
      <c r="F67" s="43" t="s">
        <v>233</v>
      </c>
      <c r="G67" s="43" t="str">
        <f aca="false">IF(K67&gt;=0,"LDU","LD")</f>
        <v>LDU</v>
      </c>
      <c r="H67" s="40" t="n">
        <v>1</v>
      </c>
      <c r="I67" s="40" t="n">
        <v>0</v>
      </c>
      <c r="J67" s="40" t="s">
        <v>231</v>
      </c>
      <c r="K67" s="40" t="n">
        <v>32</v>
      </c>
      <c r="L67" s="90" t="str">
        <f aca="false">RIGHT(DEC2HEX(K67,10),8)</f>
        <v>00000020</v>
      </c>
      <c r="M67" s="43" t="e">
        <f aca="false">M66+1</f>
        <v>#VALUE!</v>
      </c>
      <c r="N67" s="82"/>
      <c r="O67" s="43" t="n">
        <f aca="false">O66</f>
        <v>0</v>
      </c>
      <c r="P67" s="40" t="str">
        <f aca="false">L67</f>
        <v>00000020</v>
      </c>
      <c r="Q67" s="40" t="str">
        <f aca="false">L67</f>
        <v>00000020</v>
      </c>
      <c r="R67" s="40" t="n">
        <f aca="false">R66</f>
        <v>0</v>
      </c>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S67" s="28"/>
      <c r="AT67" s="28"/>
      <c r="AU67" s="36"/>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row>
    <row collapsed="false" customFormat="false" customHeight="false" hidden="false" ht="32.25" outlineLevel="0" r="68">
      <c r="A68" s="39" t="str">
        <f aca="false">IF(AND(F68="B",IF(OR(G68="LD",G68="LDU",G68="ADD",G68="SUB",G68="AND",G68="OR",G68="XOR"),1,0)),CONCATENATE(G68,"#"),G68)</f>
        <v>JMP</v>
      </c>
      <c r="B68" s="43" t="str">
        <f aca="false">"PC &lt;= R["&amp;I68&amp;"] "</f>
        <v>PC &lt;= R[1] </v>
      </c>
      <c r="C68" s="82" t="s">
        <v>263</v>
      </c>
      <c r="D68" s="26" t="str">
        <f aca="false">IF(F68="A",CONCATENATE(F68," ",G68," R",H68,",R",I68,",R",J68),IF(F68="B",CONCATENATE(F68," ",G68," R",H68,",R",I68,",",K68),CONCATENATE(F68," ",G68," ",K68)))</f>
        <v>A JMP R1,R1,R0</v>
      </c>
      <c r="E68" s="57"/>
      <c r="F68" s="22" t="s">
        <v>237</v>
      </c>
      <c r="G68" s="22" t="s">
        <v>86</v>
      </c>
      <c r="H68" s="58" t="n">
        <v>1</v>
      </c>
      <c r="I68" s="58" t="n">
        <v>1</v>
      </c>
      <c r="J68" s="58" t="n">
        <v>0</v>
      </c>
      <c r="K68" s="68" t="s">
        <v>231</v>
      </c>
      <c r="L68" s="87" t="s">
        <v>231</v>
      </c>
      <c r="M68" s="88" t="str">
        <f aca="false">"MEM["&amp;I68&amp;"]"</f>
        <v>MEM[1]</v>
      </c>
      <c r="N68" s="25"/>
      <c r="O68" s="26" t="n">
        <f aca="false">O67</f>
        <v>0</v>
      </c>
      <c r="P68" s="58" t="str">
        <f aca="false">P67</f>
        <v>00000020</v>
      </c>
      <c r="Q68" s="58" t="str">
        <f aca="false">Q67</f>
        <v>00000020</v>
      </c>
      <c r="R68" s="58" t="n">
        <f aca="false">R67</f>
        <v>0</v>
      </c>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c r="AS68" s="28"/>
      <c r="AT68" s="28"/>
      <c r="AU68" s="36"/>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row>
    <row collapsed="false" customFormat="false" customHeight="false" hidden="false" ht="17.25" outlineLevel="0" r="69">
      <c r="A69" s="24"/>
      <c r="B69" s="24"/>
      <c r="C69" s="33"/>
      <c r="D69" s="24"/>
      <c r="E69" s="29"/>
      <c r="F69" s="31"/>
      <c r="G69" s="31"/>
      <c r="H69" s="31"/>
      <c r="I69" s="31"/>
      <c r="J69" s="24"/>
      <c r="K69" s="24"/>
      <c r="L69" s="24"/>
      <c r="M69" s="24" t="e">
        <f aca="false">M68+1</f>
        <v>#VALUE!</v>
      </c>
      <c r="N69" s="33"/>
      <c r="O69" s="24" t="n">
        <f aca="false">O68</f>
        <v>0</v>
      </c>
      <c r="P69" s="24"/>
      <c r="Q69" s="24"/>
      <c r="R69" s="89"/>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S69" s="28"/>
      <c r="AT69" s="28"/>
      <c r="AU69" s="36"/>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row>
    <row collapsed="false" customFormat="false" customHeight="false" hidden="false" ht="17.25" outlineLevel="0" r="70">
      <c r="A70" s="24"/>
      <c r="B70" s="24"/>
      <c r="C70" s="33"/>
      <c r="D70" s="26"/>
      <c r="E70" s="57"/>
      <c r="F70" s="26"/>
      <c r="G70" s="26"/>
      <c r="H70" s="58"/>
      <c r="I70" s="58"/>
      <c r="J70" s="58"/>
      <c r="K70" s="58"/>
      <c r="L70" s="87"/>
      <c r="M70" s="26" t="e">
        <f aca="false">M69+1</f>
        <v>#VALUE!</v>
      </c>
      <c r="N70" s="25"/>
      <c r="O70" s="26" t="n">
        <f aca="false">O69</f>
        <v>0</v>
      </c>
      <c r="P70" s="58"/>
      <c r="Q70" s="58"/>
      <c r="R70" s="5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8"/>
      <c r="AT70" s="28"/>
      <c r="AU70" s="36"/>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row>
    <row collapsed="false" customFormat="false" customHeight="true" hidden="false" ht="62.25" outlineLevel="0" r="71">
      <c r="A71" s="39" t="str">
        <f aca="false">IF(AND(F71="B",IF(OR(G71="LD",G71="LDU",G71="ADD",G71="SUB",G71="AND",G71="OR",G71="XOR"),1,0)),CONCATENATE(G71,"#"),G71)</f>
        <v>JSR</v>
      </c>
      <c r="B71" s="43" t="str">
        <f aca="false">"R["&amp;H71&amp;"] &lt;= [PC] //R[30]=LINK"&amp;CHAR(10)&amp;"PC &lt;= MEM["&amp;I71&amp;"]"</f>
        <v>R[30] &lt;= [PC] //R[30]=LINK
PC &lt;= MEM[1]</v>
      </c>
      <c r="C71" s="82" t="s">
        <v>264</v>
      </c>
      <c r="D71" s="24" t="str">
        <f aca="false">IF(F71="A",CONCATENATE(F71," ",G71," R",H71,",R",I71,",R",J71),IF(F71="B",CONCATENATE(F71," ",G71," R",H71,",R",I71,",",K71),CONCATENATE(F71," ",G71," ",K71)))</f>
        <v>A JSR R30,R1,R0</v>
      </c>
      <c r="E71" s="29"/>
      <c r="F71" s="30" t="s">
        <v>237</v>
      </c>
      <c r="G71" s="30" t="s">
        <v>91</v>
      </c>
      <c r="H71" s="31" t="n">
        <v>30</v>
      </c>
      <c r="I71" s="31" t="n">
        <v>1</v>
      </c>
      <c r="J71" s="31" t="n">
        <v>0</v>
      </c>
      <c r="K71" s="32" t="s">
        <v>231</v>
      </c>
      <c r="L71" s="83" t="s">
        <v>231</v>
      </c>
      <c r="M71" s="52" t="str">
        <f aca="false">"MEM["&amp;I71&amp;"]"</f>
        <v>MEM[1]</v>
      </c>
      <c r="N71" s="33"/>
      <c r="O71" s="24" t="n">
        <f aca="false">O70</f>
        <v>0</v>
      </c>
      <c r="P71" s="31" t="n">
        <f aca="false">P70</f>
        <v>0</v>
      </c>
      <c r="Q71" s="31" t="n">
        <f aca="false">Q70</f>
        <v>0</v>
      </c>
      <c r="R71" s="31" t="n">
        <f aca="false">R70</f>
        <v>0</v>
      </c>
      <c r="S71" s="28"/>
      <c r="T71" s="28"/>
      <c r="U71" s="28"/>
      <c r="V71" s="28"/>
      <c r="W71" s="28"/>
      <c r="X71" s="28"/>
      <c r="Y71" s="28"/>
      <c r="Z71" s="28"/>
      <c r="AA71" s="28"/>
      <c r="AB71" s="28"/>
      <c r="AC71" s="28"/>
      <c r="AD71" s="28"/>
      <c r="AE71" s="28"/>
      <c r="AF71" s="28"/>
      <c r="AG71" s="28"/>
      <c r="AH71" s="28"/>
      <c r="AI71" s="28"/>
      <c r="AJ71" s="28"/>
      <c r="AK71" s="28"/>
      <c r="AL71" s="28"/>
      <c r="AM71" s="28"/>
      <c r="AN71" s="28"/>
      <c r="AO71" s="28"/>
      <c r="AP71" s="28"/>
      <c r="AQ71" s="28"/>
      <c r="AR71" s="28"/>
      <c r="AS71" s="28"/>
      <c r="AT71" s="28"/>
      <c r="AU71" s="36"/>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row>
    <row collapsed="false" customFormat="false" customHeight="false" hidden="false" ht="32.25" outlineLevel="0" r="72">
      <c r="A72" s="39" t="str">
        <f aca="false">IF(AND(F72="B",IF(OR(G72="LD",G72="LDU",G72="ADD",G72="SUB",G72="AND",G72="OR",G72="XOR"),1,0)),CONCATENATE(G72,"#"),G72)</f>
        <v>RTS</v>
      </c>
      <c r="B72" s="43" t="str">
        <f aca="false">"PC &lt;= MEM["&amp;I72&amp;"]  //R[30]=LINK"</f>
        <v>PC &lt;= MEM[30]  //R[30]=LINK</v>
      </c>
      <c r="C72" s="82" t="s">
        <v>265</v>
      </c>
      <c r="D72" s="91" t="str">
        <f aca="false">IF(F72="A",CONCATENATE(F72," ",G72," R",H72,",R",I72,",R",J72),IF(F72="B",CONCATENATE(F72," ",G72," R",H72,",R",I72,",",K72),CONCATENATE(F72," ",G72," ",K72)))</f>
        <v>A RTS R1,R30,R0</v>
      </c>
      <c r="E72" s="92"/>
      <c r="F72" s="93" t="s">
        <v>237</v>
      </c>
      <c r="G72" s="93" t="s">
        <v>96</v>
      </c>
      <c r="H72" s="94" t="n">
        <v>1</v>
      </c>
      <c r="I72" s="94" t="n">
        <v>30</v>
      </c>
      <c r="J72" s="94" t="n">
        <v>0</v>
      </c>
      <c r="K72" s="95" t="s">
        <v>231</v>
      </c>
      <c r="L72" s="96" t="s">
        <v>231</v>
      </c>
      <c r="M72" s="97" t="str">
        <f aca="false">"MEM["&amp;I72&amp;"]"</f>
        <v>MEM[30]</v>
      </c>
      <c r="N72" s="86"/>
      <c r="O72" s="91" t="n">
        <f aca="false">O71</f>
        <v>0</v>
      </c>
      <c r="P72" s="94" t="n">
        <f aca="false">P71</f>
        <v>0</v>
      </c>
      <c r="Q72" s="94" t="n">
        <f aca="false">Q71</f>
        <v>0</v>
      </c>
      <c r="R72" s="94" t="n">
        <f aca="false">R71</f>
        <v>0</v>
      </c>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c r="AS72" s="28"/>
      <c r="AT72" s="28"/>
      <c r="AU72" s="36"/>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row>
    <row collapsed="false" customFormat="false" customHeight="false" hidden="false" ht="17.25" outlineLevel="0" r="73">
      <c r="A73" s="24"/>
      <c r="B73" s="24"/>
      <c r="C73" s="33"/>
      <c r="D73" s="24"/>
      <c r="E73" s="29"/>
      <c r="F73" s="31"/>
      <c r="G73" s="31"/>
      <c r="H73" s="31"/>
      <c r="I73" s="31"/>
      <c r="J73" s="24"/>
      <c r="K73" s="24"/>
      <c r="L73" s="24"/>
      <c r="M73" s="24" t="e">
        <f aca="false">M72+1</f>
        <v>#VALUE!</v>
      </c>
      <c r="N73" s="33"/>
      <c r="O73" s="24" t="n">
        <f aca="false">O72</f>
        <v>0</v>
      </c>
      <c r="P73" s="24"/>
      <c r="Q73" s="24"/>
      <c r="R73" s="89"/>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S73" s="28"/>
      <c r="AT73" s="28"/>
      <c r="AU73" s="36"/>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row>
    <row collapsed="false" customFormat="false" customHeight="false" hidden="false" ht="17.25" outlineLevel="0" r="74">
      <c r="A74" s="24"/>
      <c r="B74" s="24"/>
      <c r="C74" s="33"/>
      <c r="D74" s="24"/>
      <c r="E74" s="29"/>
      <c r="F74" s="31"/>
      <c r="G74" s="31"/>
      <c r="H74" s="31"/>
      <c r="I74" s="31"/>
      <c r="J74" s="24"/>
      <c r="K74" s="24"/>
      <c r="L74" s="24"/>
      <c r="M74" s="24" t="e">
        <f aca="false">M73+1</f>
        <v>#VALUE!</v>
      </c>
      <c r="N74" s="33"/>
      <c r="O74" s="24" t="n">
        <f aca="false">O73</f>
        <v>0</v>
      </c>
      <c r="P74" s="24"/>
      <c r="Q74" s="24"/>
      <c r="R74" s="89"/>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S74" s="28"/>
      <c r="AT74" s="28"/>
      <c r="AU74" s="36"/>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row>
    <row collapsed="false" customFormat="false" customHeight="false" hidden="false" ht="48.75" outlineLevel="0" r="75">
      <c r="A75" s="39" t="str">
        <f aca="false">IF(AND(F75="B",IF(OR(G75="LD",G75="LDU",G75="ADD",G75="SUB",G75="AND",G75="OR",G75="XOR"),1,0)),CONCATENATE(G75,"#"),G75)</f>
        <v>BEQ</v>
      </c>
      <c r="B75" s="43" t="str">
        <f aca="false">"if (R["&amp;H75&amp;"]=R["&amp;I75&amp;"])"&amp;CHAR(10)&amp;"EA&lt;= "&amp;K75&amp;""&amp;CHAR(10)&amp;"PC &lt;= MEM[EA]"</f>
        <v>if (R[1]=R[2])
EA&lt;= 117
PC &lt;= MEM[EA]</v>
      </c>
      <c r="C75" s="82" t="s">
        <v>266</v>
      </c>
      <c r="D75" s="43" t="str">
        <f aca="false">IF(F75="A",CONCATENATE(F75," ",G75," R",H75,",R",I75,",R",J75),IF(F75="B",CONCATENATE(F75," ",G75," R",H75,",R",I75,",",K75),CONCATENATE(F75," ",G75," ",K75)))</f>
        <v>B BEQ R1,R2,117</v>
      </c>
      <c r="E75" s="37"/>
      <c r="F75" s="38" t="s">
        <v>233</v>
      </c>
      <c r="G75" s="39" t="s">
        <v>122</v>
      </c>
      <c r="H75" s="40" t="n">
        <v>1</v>
      </c>
      <c r="I75" s="40" t="n">
        <v>2</v>
      </c>
      <c r="J75" s="40" t="s">
        <v>231</v>
      </c>
      <c r="K75" s="41" t="n">
        <v>117</v>
      </c>
      <c r="L75" s="98" t="str">
        <f aca="false">RIGHT(DEC2HEX(K75,10),8)</f>
        <v>00000075</v>
      </c>
      <c r="M75" s="88" t="str">
        <f aca="false">"MEM["&amp;I75&amp;"]"</f>
        <v>MEM[2]</v>
      </c>
      <c r="N75" s="82"/>
      <c r="O75" s="43" t="n">
        <f aca="false">O74</f>
        <v>0</v>
      </c>
      <c r="P75" s="40" t="n">
        <f aca="false">R73</f>
        <v>0</v>
      </c>
      <c r="Q75" s="40" t="n">
        <f aca="false">Q74</f>
        <v>0</v>
      </c>
      <c r="R75" s="40" t="n">
        <f aca="false">R74</f>
        <v>0</v>
      </c>
      <c r="S75" s="28"/>
      <c r="T75" s="28"/>
      <c r="U75" s="28"/>
      <c r="V75" s="28"/>
      <c r="W75" s="28"/>
      <c r="X75" s="28"/>
      <c r="Y75" s="28"/>
      <c r="Z75" s="28"/>
      <c r="AA75" s="28"/>
      <c r="AB75" s="28"/>
      <c r="AC75" s="28"/>
      <c r="AD75" s="28"/>
      <c r="AE75" s="28"/>
      <c r="AF75" s="28"/>
      <c r="AG75" s="28"/>
      <c r="AH75" s="28"/>
      <c r="AI75" s="28"/>
      <c r="AJ75" s="28"/>
      <c r="AK75" s="28"/>
      <c r="AL75" s="28"/>
      <c r="AM75" s="28"/>
      <c r="AN75" s="28"/>
      <c r="AO75" s="28"/>
      <c r="AP75" s="28"/>
      <c r="AQ75" s="28"/>
      <c r="AR75" s="28"/>
      <c r="AS75" s="28"/>
      <c r="AT75" s="28"/>
      <c r="AU75" s="36"/>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row>
    <row collapsed="false" customFormat="false" customHeight="false" hidden="false" ht="48" outlineLevel="0" r="76">
      <c r="A76" s="39" t="str">
        <f aca="false">IF(AND(F76="B",IF(OR(G76="LD",G76="LDU",G76="ADD",G76="SUB",G76="AND",G76="OR",G76="XOR"),1,0)),CONCATENATE(G76,"#"),G76)</f>
        <v>BNE</v>
      </c>
      <c r="B76" s="43" t="str">
        <f aca="false">"if (NOT(R["&amp;H76&amp;"]=R["&amp;I76&amp;"]))"&amp;CHAR(10)&amp;"EA&lt;= "&amp;K76&amp;CHAR(10)&amp;"PC &lt;= MEM[EA]"</f>
        <v>if (NOT(R[1]=R[2]))
EA&lt;= 118
PC &lt;= MEM[EA]</v>
      </c>
      <c r="C76" s="82" t="s">
        <v>267</v>
      </c>
      <c r="D76" s="24" t="str">
        <f aca="false">IF(F76="A",CONCATENATE(F76," ",G76," R",H76,",R",I76,",R",J76),IF(F76="B",CONCATENATE(F76," ",G76," R",H76,",R",I76,",",K76),CONCATENATE(F76," ",G76," ",K76)))</f>
        <v>B BNE R1,R2,118</v>
      </c>
      <c r="E76" s="29"/>
      <c r="F76" s="53" t="s">
        <v>233</v>
      </c>
      <c r="G76" s="30" t="s">
        <v>127</v>
      </c>
      <c r="H76" s="31" t="n">
        <v>1</v>
      </c>
      <c r="I76" s="31" t="n">
        <v>2</v>
      </c>
      <c r="J76" s="31" t="s">
        <v>231</v>
      </c>
      <c r="K76" s="32" t="n">
        <v>118</v>
      </c>
      <c r="L76" s="78" t="str">
        <f aca="false">RIGHT(DEC2HEX(K76,10),8)</f>
        <v>00000076</v>
      </c>
      <c r="M76" s="52" t="str">
        <f aca="false">"MEM["&amp;I76&amp;"]"</f>
        <v>MEM[2]</v>
      </c>
      <c r="N76" s="33"/>
      <c r="O76" s="24" t="n">
        <f aca="false">O75</f>
        <v>0</v>
      </c>
      <c r="P76" s="31" t="n">
        <f aca="false">R74</f>
        <v>0</v>
      </c>
      <c r="Q76" s="31" t="n">
        <f aca="false">Q75</f>
        <v>0</v>
      </c>
      <c r="R76" s="31" t="n">
        <f aca="false">R75</f>
        <v>0</v>
      </c>
      <c r="S76" s="28"/>
      <c r="T76" s="28"/>
      <c r="U76" s="28"/>
      <c r="V76" s="28"/>
      <c r="W76" s="28"/>
      <c r="X76" s="28"/>
      <c r="Y76" s="28"/>
      <c r="Z76" s="28"/>
      <c r="AA76" s="28"/>
      <c r="AB76" s="28"/>
      <c r="AC76" s="28"/>
      <c r="AD76" s="28"/>
      <c r="AE76" s="28"/>
      <c r="AF76" s="28"/>
      <c r="AG76" s="28"/>
      <c r="AH76" s="28"/>
      <c r="AI76" s="28"/>
      <c r="AJ76" s="28"/>
      <c r="AK76" s="28"/>
      <c r="AL76" s="28"/>
      <c r="AM76" s="28"/>
      <c r="AN76" s="28"/>
      <c r="AO76" s="28"/>
      <c r="AP76" s="28"/>
      <c r="AQ76" s="28"/>
      <c r="AR76" s="28"/>
      <c r="AS76" s="28"/>
      <c r="AT76" s="28"/>
      <c r="AU76" s="36"/>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row>
    <row collapsed="false" customFormat="false" customHeight="false" hidden="false" ht="48" outlineLevel="0" r="77">
      <c r="A77" s="39" t="str">
        <f aca="false">IF(AND(F77="B",IF(OR(G77="LD",G77="LDU",G77="ADD",G77="SUB",G77="AND",G77="OR",G77="XOR"),1,0)),CONCATENATE(G77,"#"),G77)</f>
        <v>BLT</v>
      </c>
      <c r="B77" s="43" t="str">
        <f aca="false">"if (R["&amp;H77&amp;"]&lt;R["&amp;I77&amp;"])"&amp;CHAR(10)&amp;"EA&lt;= "&amp;K77&amp;""&amp;CHAR(10)&amp;"PC &lt;= MEM[EA]"</f>
        <v>if (R[1]&lt;R[2])
EA&lt;= 119
PC &lt;= MEM[EA]</v>
      </c>
      <c r="C77" s="82" t="s">
        <v>268</v>
      </c>
      <c r="D77" s="26" t="str">
        <f aca="false">IF(F77="A",CONCATENATE(F77," ",G77," R",H77,",R",I77,",R",J77),IF(F77="B",CONCATENATE(F77," ",G77," R",H77,",R",I77,",",K77),CONCATENATE(F77," ",G77," ",K77)))</f>
        <v>B BLT R1,R2,119</v>
      </c>
      <c r="E77" s="57"/>
      <c r="F77" s="64" t="s">
        <v>233</v>
      </c>
      <c r="G77" s="22" t="s">
        <v>131</v>
      </c>
      <c r="H77" s="58" t="n">
        <v>1</v>
      </c>
      <c r="I77" s="58" t="n">
        <v>2</v>
      </c>
      <c r="J77" s="58" t="s">
        <v>231</v>
      </c>
      <c r="K77" s="68" t="n">
        <v>119</v>
      </c>
      <c r="L77" s="69" t="str">
        <f aca="false">RIGHT(DEC2HEX(K77,10),8)</f>
        <v>00000077</v>
      </c>
      <c r="M77" s="67" t="str">
        <f aca="false">"MEM["&amp;I77&amp;"]"</f>
        <v>MEM[2]</v>
      </c>
      <c r="N77" s="25"/>
      <c r="O77" s="26" t="n">
        <f aca="false">O76</f>
        <v>0</v>
      </c>
      <c r="P77" s="58" t="n">
        <f aca="false">R75</f>
        <v>0</v>
      </c>
      <c r="Q77" s="58" t="n">
        <f aca="false">Q76</f>
        <v>0</v>
      </c>
      <c r="R77" s="58" t="n">
        <f aca="false">R76</f>
        <v>0</v>
      </c>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c r="AS77" s="28"/>
      <c r="AT77" s="28"/>
      <c r="AU77" s="36"/>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row>
    <row collapsed="false" customFormat="false" customHeight="false" hidden="false" ht="17.25" outlineLevel="0" r="78">
      <c r="A78" s="24"/>
      <c r="B78" s="24"/>
      <c r="C78" s="33"/>
      <c r="D78" s="24"/>
      <c r="E78" s="29"/>
      <c r="F78" s="31"/>
      <c r="G78" s="31"/>
      <c r="H78" s="31"/>
      <c r="I78" s="31"/>
      <c r="J78" s="24"/>
      <c r="K78" s="24"/>
      <c r="L78" s="24"/>
      <c r="M78" s="24" t="e">
        <f aca="false">M77+1</f>
        <v>#VALUE!</v>
      </c>
      <c r="N78" s="33"/>
      <c r="O78" s="24" t="n">
        <f aca="false">O77</f>
        <v>0</v>
      </c>
      <c r="P78" s="24"/>
      <c r="Q78" s="24"/>
      <c r="R78" s="89"/>
      <c r="S78" s="28"/>
      <c r="T78" s="28"/>
      <c r="U78" s="28"/>
      <c r="V78" s="28"/>
      <c r="W78" s="28"/>
      <c r="X78" s="28"/>
      <c r="Y78" s="28"/>
      <c r="Z78" s="28"/>
      <c r="AA78" s="28"/>
      <c r="AB78" s="28"/>
      <c r="AC78" s="28"/>
      <c r="AD78" s="28"/>
      <c r="AE78" s="28"/>
      <c r="AF78" s="28"/>
      <c r="AG78" s="28"/>
      <c r="AH78" s="28"/>
      <c r="AI78" s="28"/>
      <c r="AJ78" s="28"/>
      <c r="AK78" s="28"/>
      <c r="AL78" s="28"/>
      <c r="AM78" s="28"/>
      <c r="AN78" s="28"/>
      <c r="AO78" s="28"/>
      <c r="AP78" s="28"/>
      <c r="AQ78" s="28"/>
      <c r="AR78" s="28"/>
      <c r="AS78" s="28"/>
      <c r="AT78" s="28"/>
      <c r="AU78" s="36"/>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row>
    <row collapsed="false" customFormat="false" customHeight="false" hidden="false" ht="17.25" outlineLevel="0" r="79">
      <c r="A79" s="24"/>
      <c r="B79" s="24"/>
      <c r="C79" s="33"/>
      <c r="D79" s="24"/>
      <c r="E79" s="29"/>
      <c r="F79" s="31"/>
      <c r="G79" s="31"/>
      <c r="H79" s="31"/>
      <c r="I79" s="31"/>
      <c r="J79" s="24"/>
      <c r="K79" s="24"/>
      <c r="L79" s="24"/>
      <c r="M79" s="24" t="e">
        <f aca="false">M78+1</f>
        <v>#VALUE!</v>
      </c>
      <c r="N79" s="33"/>
      <c r="O79" s="24" t="n">
        <f aca="false">O78</f>
        <v>0</v>
      </c>
      <c r="P79" s="24"/>
      <c r="Q79" s="24"/>
      <c r="R79" s="89"/>
      <c r="S79" s="28"/>
      <c r="T79" s="28"/>
      <c r="U79" s="28"/>
      <c r="V79" s="28"/>
      <c r="W79" s="28"/>
      <c r="X79" s="28"/>
      <c r="Y79" s="28"/>
      <c r="Z79" s="28"/>
      <c r="AA79" s="28"/>
      <c r="AB79" s="28"/>
      <c r="AC79" s="28"/>
      <c r="AD79" s="28"/>
      <c r="AE79" s="28"/>
      <c r="AF79" s="28"/>
      <c r="AG79" s="28"/>
      <c r="AH79" s="28"/>
      <c r="AI79" s="28"/>
      <c r="AJ79" s="28"/>
      <c r="AK79" s="28"/>
      <c r="AL79" s="28"/>
      <c r="AM79" s="28"/>
      <c r="AN79" s="28"/>
      <c r="AO79" s="28"/>
      <c r="AP79" s="28"/>
      <c r="AQ79" s="28"/>
      <c r="AR79" s="28"/>
      <c r="AS79" s="28"/>
      <c r="AT79" s="28"/>
      <c r="AU79" s="36"/>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row>
    <row collapsed="false" customFormat="false" customHeight="false" hidden="false" ht="17.25" outlineLevel="0" r="80">
      <c r="A80" s="24"/>
      <c r="B80" s="24"/>
      <c r="C80" s="33"/>
      <c r="D80" s="24"/>
      <c r="E80" s="29"/>
      <c r="F80" s="31"/>
      <c r="G80" s="31"/>
      <c r="H80" s="31"/>
      <c r="I80" s="31"/>
      <c r="J80" s="24"/>
      <c r="K80" s="24"/>
      <c r="L80" s="24"/>
      <c r="M80" s="24" t="e">
        <f aca="false">M79+1</f>
        <v>#VALUE!</v>
      </c>
      <c r="N80" s="33"/>
      <c r="O80" s="24" t="n">
        <f aca="false">O79</f>
        <v>0</v>
      </c>
      <c r="P80" s="24"/>
      <c r="Q80" s="24"/>
      <c r="R80" s="89"/>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36"/>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row>
    <row collapsed="false" customFormat="false" customHeight="false" hidden="false" ht="33" outlineLevel="0" r="81">
      <c r="A81" s="39" t="str">
        <f aca="false">IF(AND(F81="B",IF(OR(G81="LD",G81="LDU",G81="ADD",G81="SUB",G81="AND",G81="OR",G81="XOR"),1,0)),CONCATENATE(G81,"#"),G81)</f>
        <v>BRA</v>
      </c>
      <c r="B81" s="43" t="str">
        <f aca="false">"EA&lt;= "&amp;K81&amp;CHAR(10)&amp;"PC &lt;= MEM[EA]"</f>
        <v>EA&lt;= 110
PC &lt;= MEM[EA]</v>
      </c>
      <c r="C81" s="82" t="s">
        <v>266</v>
      </c>
      <c r="D81" s="24" t="str">
        <f aca="false">IF(F81="A",CONCATENATE(F81," ",G81," R",H81,",R",I81,",R",J81),IF(F81="B",CONCATENATE(F81," ",G81," R",H81,",R",I81,",",K81),CONCATENATE(F81," ",G81," ",K81)))</f>
        <v>C BRA 110</v>
      </c>
      <c r="E81" s="29"/>
      <c r="F81" s="99" t="s">
        <v>269</v>
      </c>
      <c r="G81" s="30" t="s">
        <v>159</v>
      </c>
      <c r="H81" s="31" t="s">
        <v>231</v>
      </c>
      <c r="I81" s="31" t="s">
        <v>231</v>
      </c>
      <c r="J81" s="31" t="s">
        <v>231</v>
      </c>
      <c r="K81" s="32" t="n">
        <v>110</v>
      </c>
      <c r="L81" s="78" t="str">
        <f aca="false">RIGHT(DEC2HEX(K81,10),8)</f>
        <v>0000006E</v>
      </c>
      <c r="M81" s="52" t="str">
        <f aca="false">"MEM["&amp;K81&amp;"]"</f>
        <v>MEM[110]</v>
      </c>
      <c r="N81" s="33"/>
      <c r="O81" s="24" t="n">
        <f aca="false">O80</f>
        <v>0</v>
      </c>
      <c r="P81" s="31" t="n">
        <f aca="false">R79</f>
        <v>0</v>
      </c>
      <c r="Q81" s="31" t="n">
        <f aca="false">Q80</f>
        <v>0</v>
      </c>
      <c r="R81" s="31" t="n">
        <f aca="false">R80</f>
        <v>0</v>
      </c>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36"/>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row>
    <row collapsed="false" customFormat="false" customHeight="false" hidden="false" ht="48" outlineLevel="0" r="82">
      <c r="A82" s="39" t="str">
        <f aca="false">IF(AND(F82="B",IF(OR(G82="LD",G82="LDU",G82="ADD",G82="SUB",G82="AND",G82="OR",G82="XOR"),1,0)),CONCATENATE(G82,"#"),G82)</f>
        <v>BSR</v>
      </c>
      <c r="B82" s="43" t="str">
        <f aca="false">"if (R["&amp;H82&amp;"]&lt;R["&amp;I82&amp;"])"&amp;CHAR(10)&amp;"EA&lt;= "&amp;K82&amp;""&amp;CHAR(10)&amp;"PC &lt;= MEM[EA]"</f>
        <v>if (R[-]&lt;R[-])
EA&lt;= 111
PC &lt;= MEM[EA]</v>
      </c>
      <c r="C82" s="82" t="s">
        <v>266</v>
      </c>
      <c r="D82" s="24" t="str">
        <f aca="false">IF(F82="A",CONCATENATE(F82," ",G82," R",H82,",R",I82,",R",J82),IF(F82="B",CONCATENATE(F82," ",G82," R",H82,",R",I82,",",K82),CONCATENATE(F82," ",G82," ",K82)))</f>
        <v>C BSR 111</v>
      </c>
      <c r="E82" s="29"/>
      <c r="F82" s="99" t="s">
        <v>269</v>
      </c>
      <c r="G82" s="30" t="s">
        <v>164</v>
      </c>
      <c r="H82" s="31" t="s">
        <v>231</v>
      </c>
      <c r="I82" s="31" t="s">
        <v>231</v>
      </c>
      <c r="J82" s="31" t="s">
        <v>231</v>
      </c>
      <c r="K82" s="32" t="n">
        <v>111</v>
      </c>
      <c r="L82" s="78" t="str">
        <f aca="false">RIGHT(DEC2HEX(K82,10),8)</f>
        <v>0000006F</v>
      </c>
      <c r="M82" s="52" t="str">
        <f aca="false">"MEM["&amp;K82&amp;"]"</f>
        <v>MEM[111]</v>
      </c>
      <c r="N82" s="33"/>
      <c r="O82" s="24" t="n">
        <f aca="false">O81</f>
        <v>0</v>
      </c>
      <c r="P82" s="31" t="n">
        <f aca="false">R80</f>
        <v>0</v>
      </c>
      <c r="Q82" s="31" t="n">
        <f aca="false">Q81</f>
        <v>0</v>
      </c>
      <c r="R82" s="31" t="n">
        <f aca="false">R81</f>
        <v>0</v>
      </c>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36"/>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row>
    <row collapsed="false" customFormat="false" customHeight="false" hidden="false" ht="17.25" outlineLevel="0" r="83">
      <c r="A83" s="24"/>
      <c r="B83" s="24"/>
      <c r="C83" s="24"/>
      <c r="D83" s="24"/>
      <c r="E83" s="29"/>
      <c r="F83" s="31"/>
      <c r="G83" s="31"/>
      <c r="H83" s="31"/>
      <c r="I83" s="31"/>
      <c r="J83" s="24"/>
      <c r="K83" s="24"/>
      <c r="L83" s="33"/>
      <c r="M83" s="24" t="e">
        <f aca="false">M82+1</f>
        <v>#VALUE!</v>
      </c>
      <c r="N83" s="48"/>
      <c r="O83" s="24" t="n">
        <f aca="false">O82</f>
        <v>0</v>
      </c>
      <c r="P83" s="34"/>
      <c r="Q83" s="24"/>
      <c r="R83" s="89"/>
      <c r="S83" s="28"/>
      <c r="T83" s="28"/>
      <c r="U83" s="28"/>
      <c r="V83" s="28"/>
      <c r="W83" s="28"/>
      <c r="X83" s="28"/>
      <c r="Y83" s="28"/>
      <c r="Z83" s="28"/>
      <c r="AA83" s="28"/>
      <c r="AB83" s="28"/>
      <c r="AC83" s="28"/>
      <c r="AD83" s="28"/>
      <c r="AE83" s="28"/>
      <c r="AF83" s="28"/>
      <c r="AG83" s="28"/>
      <c r="AH83" s="28"/>
      <c r="AI83" s="28"/>
      <c r="AJ83" s="28"/>
      <c r="AK83" s="28"/>
      <c r="AL83" s="28"/>
      <c r="AM83" s="28"/>
      <c r="AN83" s="28"/>
      <c r="AO83" s="28"/>
      <c r="AP83" s="28"/>
      <c r="AQ83" s="28"/>
      <c r="AR83" s="28"/>
      <c r="AS83" s="28"/>
      <c r="AT83" s="28"/>
      <c r="AU83" s="36"/>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row>
    <row collapsed="false" customFormat="false" customHeight="false" hidden="false" ht="17.25" outlineLevel="0" r="84">
      <c r="A84" s="24"/>
      <c r="B84" s="24"/>
      <c r="C84" s="24"/>
      <c r="D84" s="24"/>
      <c r="E84" s="29"/>
      <c r="F84" s="31"/>
      <c r="G84" s="31"/>
      <c r="H84" s="31"/>
      <c r="I84" s="31"/>
      <c r="J84" s="24"/>
      <c r="K84" s="24"/>
      <c r="L84" s="33"/>
      <c r="M84" s="24" t="e">
        <f aca="false">M83+1</f>
        <v>#VALUE!</v>
      </c>
      <c r="N84" s="48"/>
      <c r="O84" s="24" t="n">
        <f aca="false">O83</f>
        <v>0</v>
      </c>
      <c r="P84" s="34"/>
      <c r="Q84" s="24"/>
      <c r="R84" s="89"/>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62"/>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row>
    <row collapsed="false" customFormat="false" customHeight="false" hidden="false" ht="15.25" outlineLevel="0" r="152"/>
    <row collapsed="false" customFormat="false" customHeight="false" hidden="false" ht="15.25" outlineLevel="0" r="153"/>
    <row collapsed="false" customFormat="false" customHeight="false" hidden="false" ht="15.25" outlineLevel="0" r="154"/>
    <row collapsed="false" customFormat="false" customHeight="false" hidden="false" ht="15.25" outlineLevel="0" r="155"/>
    <row collapsed="false" customFormat="false" customHeight="false" hidden="false" ht="15.25" outlineLevel="0" r="156"/>
    <row collapsed="false" customFormat="false" customHeight="false" hidden="false" ht="15.25" outlineLevel="0" r="157"/>
    <row collapsed="false" customFormat="false" customHeight="false" hidden="false" ht="15.25" outlineLevel="0" r="158"/>
    <row collapsed="false" customFormat="false" customHeight="false" hidden="false" ht="15.25" outlineLevel="0" r="159"/>
    <row collapsed="false" customFormat="false" customHeight="false" hidden="false" ht="15.25" outlineLevel="0" r="160"/>
    <row collapsed="false" customFormat="false" customHeight="false" hidden="false" ht="15.25" outlineLevel="0" r="161"/>
  </sheetData>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AU8"/>
  <sheetViews>
    <sheetView colorId="64" defaultGridColor="true" rightToLeft="false" showFormulas="false" showGridLines="true" showOutlineSymbols="true" showRowColHeaders="true" showZeros="true" tabSelected="false" topLeftCell="A1" view="normal" windowProtection="false" workbookViewId="0" zoomScale="95" zoomScaleNormal="95" zoomScalePageLayoutView="100">
      <selection activeCell="A7" activeCellId="0" pane="topLeft" sqref="A7"/>
    </sheetView>
  </sheetViews>
  <sheetFormatPr defaultRowHeight="15.75"/>
  <cols>
    <col collapsed="false" hidden="false" max="1" min="1" style="20" width="8.25116279069768"/>
    <col collapsed="false" hidden="false" max="2" min="2" style="20" width="13.1255813953488"/>
    <col collapsed="false" hidden="false" max="3" min="3" style="20" width="10.3767441860465"/>
    <col collapsed="false" hidden="false" max="4" min="4" style="20" width="13.0046511627907"/>
    <col collapsed="false" hidden="false" max="5" min="5" style="20" width="16.8744186046512"/>
    <col collapsed="false" hidden="false" max="6" min="6" style="20" width="7.49767441860465"/>
    <col collapsed="false" hidden="false" max="7" min="7" style="20" width="8"/>
    <col collapsed="false" hidden="false" max="8" min="8" style="20" width="11.1255813953488"/>
    <col collapsed="false" hidden="false" max="10" min="9" style="20" width="8.12093023255814"/>
    <col collapsed="false" hidden="false" max="12" min="11" style="20" width="16.753488372093"/>
    <col collapsed="false" hidden="false" max="14" min="13" style="20" width="8.25116279069768"/>
    <col collapsed="false" hidden="false" max="15" min="15" style="20" width="17.3767441860465"/>
    <col collapsed="false" hidden="false" max="1025" min="16" style="20" width="8.25116279069768"/>
  </cols>
  <sheetData>
    <row collapsed="false" customFormat="false" customHeight="false" hidden="false" ht="15.75" outlineLevel="0" r="1">
      <c r="A1" s="16" t="s">
        <v>86</v>
      </c>
      <c r="B1" s="16"/>
      <c r="C1" s="16"/>
      <c r="D1" s="16"/>
      <c r="E1" s="16" t="s">
        <v>170</v>
      </c>
      <c r="F1" s="16"/>
      <c r="G1" s="16"/>
      <c r="H1" s="17"/>
      <c r="I1" s="17"/>
      <c r="J1" s="17"/>
      <c r="K1" s="17"/>
      <c r="L1" s="17"/>
      <c r="M1" s="18"/>
      <c r="N1" s="18"/>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row>
    <row collapsed="false" customFormat="false" customHeight="false" hidden="false" ht="31.5" outlineLevel="0" r="2">
      <c r="A2" s="16"/>
      <c r="B2" s="16"/>
      <c r="C2" s="16"/>
      <c r="D2" s="16"/>
      <c r="E2" s="16" t="s">
        <v>173</v>
      </c>
      <c r="F2" s="16" t="s">
        <v>2</v>
      </c>
      <c r="G2" s="16" t="s">
        <v>174</v>
      </c>
      <c r="H2" s="16" t="s">
        <v>175</v>
      </c>
      <c r="I2" s="17" t="s">
        <v>176</v>
      </c>
      <c r="J2" s="17" t="s">
        <v>177</v>
      </c>
      <c r="K2" s="17"/>
      <c r="L2" s="17"/>
      <c r="M2" s="18"/>
      <c r="N2" s="18"/>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row>
    <row collapsed="false" customFormat="false" customHeight="false" hidden="false" ht="31.5" outlineLevel="0" r="3">
      <c r="A3" s="16"/>
      <c r="B3" s="16"/>
      <c r="C3" s="16"/>
      <c r="D3" s="16"/>
      <c r="E3" s="16" t="s">
        <v>178</v>
      </c>
      <c r="F3" s="16" t="s">
        <v>2</v>
      </c>
      <c r="G3" s="16" t="s">
        <v>174</v>
      </c>
      <c r="H3" s="16" t="s">
        <v>175</v>
      </c>
      <c r="I3" s="17" t="s">
        <v>176</v>
      </c>
      <c r="J3" s="17"/>
      <c r="K3" s="17" t="s">
        <v>179</v>
      </c>
      <c r="L3" s="17"/>
      <c r="M3" s="18"/>
      <c r="N3" s="18"/>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row>
    <row collapsed="false" customFormat="false" customHeight="false" hidden="false" ht="15.75" outlineLevel="0" r="4">
      <c r="A4" s="16"/>
      <c r="B4" s="16"/>
      <c r="C4" s="16"/>
      <c r="D4" s="16"/>
      <c r="E4" s="16" t="s">
        <v>180</v>
      </c>
      <c r="F4" s="16" t="s">
        <v>2</v>
      </c>
      <c r="G4" s="16" t="s">
        <v>174</v>
      </c>
      <c r="H4" s="16"/>
      <c r="I4" s="17"/>
      <c r="J4" s="17"/>
      <c r="K4" s="17" t="s">
        <v>179</v>
      </c>
      <c r="L4" s="17"/>
      <c r="M4" s="18"/>
      <c r="N4" s="18"/>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row>
    <row collapsed="false" customFormat="false" customHeight="false" hidden="false" ht="48" outlineLevel="0" r="5">
      <c r="A5" s="16"/>
      <c r="B5" s="16"/>
      <c r="C5" s="16"/>
      <c r="D5" s="16"/>
      <c r="E5" s="16"/>
      <c r="F5" s="16"/>
      <c r="G5" s="16"/>
      <c r="H5" s="17"/>
      <c r="I5" s="17"/>
      <c r="J5" s="17"/>
      <c r="K5" s="17" t="str">
        <f aca="false">"-"&amp;2^15&amp;"&lt;VAL&lt;"&amp;2^16</f>
        <v>-32768&lt;VAL&lt;65536</v>
      </c>
      <c r="L5" s="17" t="str">
        <f aca="false">"-"&amp;2^15&amp;"&lt;VAL&lt;"&amp;2^16</f>
        <v>-32768&lt;VAL&lt;65536</v>
      </c>
      <c r="O5" s="18" t="s">
        <v>181</v>
      </c>
      <c r="P5" s="16" t="s">
        <v>182</v>
      </c>
      <c r="Q5" s="16" t="s">
        <v>183</v>
      </c>
      <c r="R5" s="16" t="s">
        <v>184</v>
      </c>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row>
    <row collapsed="false" customFormat="false" customHeight="false" hidden="false" ht="48" outlineLevel="0" r="6">
      <c r="A6" s="21" t="s">
        <v>185</v>
      </c>
      <c r="B6" s="22" t="s">
        <v>186</v>
      </c>
      <c r="C6" s="23" t="s">
        <v>187</v>
      </c>
      <c r="D6" s="26" t="s">
        <v>188</v>
      </c>
      <c r="E6" s="26" t="s">
        <v>189</v>
      </c>
      <c r="F6" s="26" t="s">
        <v>190</v>
      </c>
      <c r="G6" s="26" t="s">
        <v>185</v>
      </c>
      <c r="H6" s="58" t="s">
        <v>191</v>
      </c>
      <c r="I6" s="58" t="s">
        <v>192</v>
      </c>
      <c r="J6" s="58" t="s">
        <v>193</v>
      </c>
      <c r="K6" s="58" t="s">
        <v>194</v>
      </c>
      <c r="L6" s="58" t="s">
        <v>195</v>
      </c>
      <c r="M6" s="100" t="s">
        <v>196</v>
      </c>
      <c r="N6" s="100" t="s">
        <v>197</v>
      </c>
      <c r="O6" s="25" t="s">
        <v>198</v>
      </c>
      <c r="P6" s="26" t="s">
        <v>199</v>
      </c>
      <c r="Q6" s="27" t="s">
        <v>200</v>
      </c>
      <c r="R6" s="26" t="s">
        <v>201</v>
      </c>
      <c r="S6" s="34" t="s">
        <v>202</v>
      </c>
      <c r="T6" s="24" t="s">
        <v>203</v>
      </c>
      <c r="U6" s="24" t="s">
        <v>204</v>
      </c>
      <c r="V6" s="24" t="s">
        <v>205</v>
      </c>
      <c r="W6" s="24" t="s">
        <v>206</v>
      </c>
      <c r="X6" s="24" t="s">
        <v>207</v>
      </c>
      <c r="Y6" s="24" t="s">
        <v>208</v>
      </c>
      <c r="Z6" s="24" t="s">
        <v>209</v>
      </c>
      <c r="AA6" s="24" t="s">
        <v>210</v>
      </c>
      <c r="AB6" s="24" t="s">
        <v>211</v>
      </c>
      <c r="AC6" s="24" t="s">
        <v>212</v>
      </c>
      <c r="AD6" s="24" t="s">
        <v>213</v>
      </c>
      <c r="AE6" s="24" t="s">
        <v>214</v>
      </c>
      <c r="AF6" s="24" t="s">
        <v>215</v>
      </c>
      <c r="AG6" s="24" t="s">
        <v>216</v>
      </c>
      <c r="AH6" s="24" t="s">
        <v>217</v>
      </c>
      <c r="AI6" s="24" t="s">
        <v>218</v>
      </c>
      <c r="AJ6" s="24" t="s">
        <v>219</v>
      </c>
      <c r="AK6" s="24" t="s">
        <v>220</v>
      </c>
      <c r="AL6" s="24" t="s">
        <v>221</v>
      </c>
      <c r="AM6" s="24" t="s">
        <v>222</v>
      </c>
      <c r="AN6" s="24" t="s">
        <v>223</v>
      </c>
      <c r="AO6" s="24" t="s">
        <v>224</v>
      </c>
      <c r="AP6" s="24" t="s">
        <v>225</v>
      </c>
      <c r="AQ6" s="24" t="s">
        <v>226</v>
      </c>
      <c r="AR6" s="24" t="s">
        <v>227</v>
      </c>
      <c r="AS6" s="24" t="s">
        <v>228</v>
      </c>
      <c r="AT6" s="24" t="s">
        <v>229</v>
      </c>
      <c r="AU6" s="24" t="s">
        <v>230</v>
      </c>
    </row>
    <row collapsed="false" customFormat="false" customHeight="false" hidden="false" ht="29.85" outlineLevel="0" r="7">
      <c r="A7" s="30" t="str">
        <f aca="false">IF(AND(F7="B",IF(OR(G7="LD",G7="LDU",G7="ADD",G7="SUB",G7="AND",G7="OR",G7="XOR"),1,0)),CONCATENATE(G7,"#"),G7)</f>
        <v>NOP</v>
      </c>
      <c r="B7" s="24" t="s">
        <v>231</v>
      </c>
      <c r="C7" s="24" t="s">
        <v>232</v>
      </c>
      <c r="D7" s="24" t="str">
        <f aca="false">IF(F7="A",CONCATENATE(F7," ",G7," R",H7,",R",I7,",",J7),IF(F7="B",CONCATENATE(F7," ",G7," R",H7,",R",I7,",",K7),CONCATENATE(F7," ",G7," ",K7)))</f>
        <v>A NOP R0,R0,0</v>
      </c>
      <c r="E7" s="29"/>
      <c r="F7" s="30" t="s">
        <v>237</v>
      </c>
      <c r="G7" s="30" t="s">
        <v>68</v>
      </c>
      <c r="H7" s="31" t="n">
        <v>0</v>
      </c>
      <c r="I7" s="31" t="n">
        <v>0</v>
      </c>
      <c r="J7" s="31" t="n">
        <v>0</v>
      </c>
      <c r="K7" s="32" t="s">
        <v>231</v>
      </c>
      <c r="L7" s="32" t="s">
        <v>231</v>
      </c>
      <c r="M7" s="33" t="n">
        <v>0</v>
      </c>
      <c r="N7" s="24"/>
      <c r="O7" s="34" t="n">
        <v>0</v>
      </c>
      <c r="P7" s="34"/>
      <c r="Q7" s="24"/>
      <c r="R7" s="24"/>
    </row>
    <row collapsed="false" customFormat="false" customHeight="false" hidden="false" ht="44.75" outlineLevel="0" r="8"/>
  </sheetData>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AU7"/>
  <sheetViews>
    <sheetView colorId="64" defaultGridColor="true" rightToLeft="false" showFormulas="false" showGridLines="true" showOutlineSymbols="true" showRowColHeaders="true" showZeros="true" tabSelected="false" topLeftCell="A1" view="normal" windowProtection="false" workbookViewId="0" zoomScale="95" zoomScaleNormal="95" zoomScalePageLayoutView="100">
      <selection activeCell="A1" activeCellId="0" pane="topLeft" sqref="A1"/>
    </sheetView>
  </sheetViews>
  <sheetFormatPr defaultRowHeight="15.75"/>
  <cols>
    <col collapsed="false" hidden="false" max="1" min="1" style="20" width="8.25116279069768"/>
    <col collapsed="false" hidden="false" max="2" min="2" style="20" width="13.1255813953488"/>
    <col collapsed="false" hidden="false" max="3" min="3" style="20" width="10.3767441860465"/>
    <col collapsed="false" hidden="false" max="4" min="4" style="20" width="13.0046511627907"/>
    <col collapsed="false" hidden="false" max="5" min="5" style="20" width="16.8744186046512"/>
    <col collapsed="false" hidden="false" max="6" min="6" style="20" width="7.49767441860465"/>
    <col collapsed="false" hidden="false" max="7" min="7" style="20" width="8"/>
    <col collapsed="false" hidden="false" max="8" min="8" style="20" width="11.1255813953488"/>
    <col collapsed="false" hidden="false" max="10" min="9" style="20" width="8.12093023255814"/>
    <col collapsed="false" hidden="false" max="12" min="11" style="20" width="16.753488372093"/>
    <col collapsed="false" hidden="false" max="14" min="13" style="20" width="8.25116279069768"/>
    <col collapsed="false" hidden="false" max="15" min="15" style="20" width="17.3767441860465"/>
    <col collapsed="false" hidden="false" max="1025" min="16" style="20" width="8.25116279069768"/>
  </cols>
  <sheetData>
    <row collapsed="false" customFormat="false" customHeight="false" hidden="false" ht="15.75" outlineLevel="0" r="1">
      <c r="A1" s="16" t="s">
        <v>270</v>
      </c>
      <c r="B1" s="16"/>
      <c r="C1" s="16"/>
      <c r="D1" s="16"/>
      <c r="E1" s="16" t="s">
        <v>170</v>
      </c>
      <c r="F1" s="16"/>
      <c r="G1" s="16"/>
      <c r="H1" s="17"/>
      <c r="I1" s="17"/>
      <c r="J1" s="17"/>
      <c r="K1" s="17"/>
      <c r="L1" s="17"/>
      <c r="M1" s="18"/>
      <c r="N1" s="18"/>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row>
    <row collapsed="false" customFormat="false" customHeight="false" hidden="false" ht="31.5" outlineLevel="0" r="2">
      <c r="A2" s="16"/>
      <c r="B2" s="16"/>
      <c r="C2" s="16"/>
      <c r="D2" s="16"/>
      <c r="E2" s="16" t="s">
        <v>173</v>
      </c>
      <c r="F2" s="16" t="s">
        <v>2</v>
      </c>
      <c r="G2" s="16" t="s">
        <v>174</v>
      </c>
      <c r="H2" s="16" t="s">
        <v>175</v>
      </c>
      <c r="I2" s="17" t="s">
        <v>176</v>
      </c>
      <c r="J2" s="17" t="s">
        <v>177</v>
      </c>
      <c r="K2" s="17"/>
      <c r="L2" s="17"/>
      <c r="M2" s="18"/>
      <c r="N2" s="18"/>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row>
    <row collapsed="false" customFormat="false" customHeight="false" hidden="false" ht="31.5" outlineLevel="0" r="3">
      <c r="A3" s="16"/>
      <c r="B3" s="16"/>
      <c r="C3" s="16"/>
      <c r="D3" s="16"/>
      <c r="E3" s="16" t="s">
        <v>178</v>
      </c>
      <c r="F3" s="16" t="s">
        <v>2</v>
      </c>
      <c r="G3" s="16" t="s">
        <v>174</v>
      </c>
      <c r="H3" s="16" t="s">
        <v>175</v>
      </c>
      <c r="I3" s="17" t="s">
        <v>176</v>
      </c>
      <c r="J3" s="17"/>
      <c r="K3" s="17" t="s">
        <v>179</v>
      </c>
      <c r="L3" s="17"/>
      <c r="M3" s="18"/>
      <c r="N3" s="18"/>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row>
    <row collapsed="false" customFormat="false" customHeight="false" hidden="false" ht="15.75" outlineLevel="0" r="4">
      <c r="A4" s="16"/>
      <c r="B4" s="16"/>
      <c r="C4" s="16"/>
      <c r="D4" s="16"/>
      <c r="E4" s="16" t="s">
        <v>180</v>
      </c>
      <c r="F4" s="16" t="s">
        <v>2</v>
      </c>
      <c r="G4" s="16" t="s">
        <v>174</v>
      </c>
      <c r="H4" s="16"/>
      <c r="I4" s="17"/>
      <c r="J4" s="17"/>
      <c r="K4" s="17" t="s">
        <v>179</v>
      </c>
      <c r="L4" s="17"/>
      <c r="M4" s="18"/>
      <c r="N4" s="18"/>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row>
    <row collapsed="false" customFormat="false" customHeight="false" hidden="false" ht="48" outlineLevel="0" r="5">
      <c r="A5" s="16"/>
      <c r="B5" s="16"/>
      <c r="C5" s="16"/>
      <c r="D5" s="16"/>
      <c r="E5" s="16"/>
      <c r="F5" s="16"/>
      <c r="G5" s="16"/>
      <c r="H5" s="17"/>
      <c r="I5" s="17"/>
      <c r="J5" s="17"/>
      <c r="K5" s="17" t="str">
        <f aca="false">"-"&amp;2^15&amp;"&lt;VAL&lt;"&amp;2^16</f>
        <v>-32768&lt;VAL&lt;65536</v>
      </c>
      <c r="L5" s="17" t="str">
        <f aca="false">"-"&amp;2^15&amp;"&lt;VAL&lt;"&amp;2^16</f>
        <v>-32768&lt;VAL&lt;65536</v>
      </c>
      <c r="O5" s="18" t="s">
        <v>181</v>
      </c>
      <c r="P5" s="16" t="s">
        <v>182</v>
      </c>
      <c r="Q5" s="16" t="s">
        <v>183</v>
      </c>
      <c r="R5" s="16" t="s">
        <v>184</v>
      </c>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row>
    <row collapsed="false" customFormat="false" customHeight="false" hidden="false" ht="48" outlineLevel="0" r="6">
      <c r="A6" s="21" t="s">
        <v>185</v>
      </c>
      <c r="B6" s="22" t="s">
        <v>186</v>
      </c>
      <c r="C6" s="23" t="s">
        <v>187</v>
      </c>
      <c r="D6" s="26" t="s">
        <v>188</v>
      </c>
      <c r="E6" s="26" t="s">
        <v>189</v>
      </c>
      <c r="F6" s="26" t="s">
        <v>190</v>
      </c>
      <c r="G6" s="26" t="s">
        <v>185</v>
      </c>
      <c r="H6" s="58" t="s">
        <v>191</v>
      </c>
      <c r="I6" s="58" t="s">
        <v>192</v>
      </c>
      <c r="J6" s="58" t="s">
        <v>193</v>
      </c>
      <c r="K6" s="58" t="s">
        <v>194</v>
      </c>
      <c r="L6" s="58" t="s">
        <v>195</v>
      </c>
      <c r="M6" s="100" t="s">
        <v>196</v>
      </c>
      <c r="N6" s="100" t="s">
        <v>197</v>
      </c>
      <c r="O6" s="25" t="s">
        <v>198</v>
      </c>
      <c r="P6" s="26" t="s">
        <v>199</v>
      </c>
      <c r="Q6" s="27" t="s">
        <v>200</v>
      </c>
      <c r="R6" s="26" t="s">
        <v>201</v>
      </c>
      <c r="S6" s="34" t="s">
        <v>202</v>
      </c>
      <c r="T6" s="24" t="s">
        <v>203</v>
      </c>
      <c r="U6" s="24" t="s">
        <v>204</v>
      </c>
      <c r="V6" s="24" t="s">
        <v>205</v>
      </c>
      <c r="W6" s="24" t="s">
        <v>206</v>
      </c>
      <c r="X6" s="24" t="s">
        <v>207</v>
      </c>
      <c r="Y6" s="24" t="s">
        <v>208</v>
      </c>
      <c r="Z6" s="24" t="s">
        <v>209</v>
      </c>
      <c r="AA6" s="24" t="s">
        <v>210</v>
      </c>
      <c r="AB6" s="24" t="s">
        <v>211</v>
      </c>
      <c r="AC6" s="24" t="s">
        <v>212</v>
      </c>
      <c r="AD6" s="24" t="s">
        <v>213</v>
      </c>
      <c r="AE6" s="24" t="s">
        <v>214</v>
      </c>
      <c r="AF6" s="24" t="s">
        <v>215</v>
      </c>
      <c r="AG6" s="24" t="s">
        <v>216</v>
      </c>
      <c r="AH6" s="24" t="s">
        <v>217</v>
      </c>
      <c r="AI6" s="24" t="s">
        <v>218</v>
      </c>
      <c r="AJ6" s="24" t="s">
        <v>219</v>
      </c>
      <c r="AK6" s="24" t="s">
        <v>220</v>
      </c>
      <c r="AL6" s="24" t="s">
        <v>221</v>
      </c>
      <c r="AM6" s="24" t="s">
        <v>222</v>
      </c>
      <c r="AN6" s="24" t="s">
        <v>223</v>
      </c>
      <c r="AO6" s="24" t="s">
        <v>224</v>
      </c>
      <c r="AP6" s="24" t="s">
        <v>225</v>
      </c>
      <c r="AQ6" s="24" t="s">
        <v>226</v>
      </c>
      <c r="AR6" s="24" t="s">
        <v>227</v>
      </c>
      <c r="AS6" s="24" t="s">
        <v>228</v>
      </c>
      <c r="AT6" s="24" t="s">
        <v>229</v>
      </c>
      <c r="AU6" s="24" t="s">
        <v>230</v>
      </c>
    </row>
    <row collapsed="false" customFormat="false" customHeight="false" hidden="false" ht="32.25" outlineLevel="0" r="7">
      <c r="A7" s="30" t="str">
        <f aca="false">IF(AND(F7="B",IF(OR(G7="LD",G7="LDU",G7="ADD",G7="SUB",G7="AND",G7="OR",G7="XOR"),1,0)),CONCATENATE(G7,"#"),G7)</f>
        <v>NOP</v>
      </c>
      <c r="B7" s="24" t="s">
        <v>231</v>
      </c>
      <c r="C7" s="24" t="s">
        <v>232</v>
      </c>
      <c r="D7" s="24" t="str">
        <f aca="false">IF(F7="A",CONCATENATE(F7," ",G7," R",H7,",R",I7,",",J7),IF(F7="B",CONCATENATE(F7," ",G7," R",H7,",R",I7,",",K7),CONCATENATE(F7," ",G7," ",K7)))</f>
        <v>A NOP R0,R0,0</v>
      </c>
      <c r="E7" s="29"/>
      <c r="F7" s="30" t="s">
        <v>237</v>
      </c>
      <c r="G7" s="30" t="s">
        <v>68</v>
      </c>
      <c r="H7" s="31" t="n">
        <v>0</v>
      </c>
      <c r="I7" s="31" t="n">
        <v>0</v>
      </c>
      <c r="J7" s="31" t="n">
        <v>0</v>
      </c>
      <c r="K7" s="32" t="s">
        <v>231</v>
      </c>
      <c r="L7" s="32" t="s">
        <v>231</v>
      </c>
      <c r="M7" s="33" t="n">
        <v>0</v>
      </c>
      <c r="N7" s="24"/>
      <c r="O7" s="34" t="n">
        <v>0</v>
      </c>
      <c r="P7" s="34"/>
      <c r="Q7" s="24"/>
      <c r="R7" s="24"/>
    </row>
  </sheetData>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AU7"/>
  <sheetViews>
    <sheetView colorId="64" defaultGridColor="true" rightToLeft="false" showFormulas="false" showGridLines="true" showOutlineSymbols="true" showRowColHeaders="true" showZeros="true" tabSelected="false" topLeftCell="A1" view="normal" windowProtection="false" workbookViewId="0" zoomScale="95" zoomScaleNormal="95" zoomScalePageLayoutView="100">
      <selection activeCell="A2" activeCellId="0" pane="topLeft" sqref="A2"/>
    </sheetView>
  </sheetViews>
  <sheetFormatPr defaultRowHeight="15.75"/>
  <cols>
    <col collapsed="false" hidden="false" max="1" min="1" style="20" width="8.25116279069768"/>
    <col collapsed="false" hidden="false" max="2" min="2" style="20" width="13.1255813953488"/>
    <col collapsed="false" hidden="false" max="3" min="3" style="20" width="10.3767441860465"/>
    <col collapsed="false" hidden="false" max="4" min="4" style="20" width="13.0046511627907"/>
    <col collapsed="false" hidden="false" max="5" min="5" style="20" width="16.8744186046512"/>
    <col collapsed="false" hidden="false" max="6" min="6" style="20" width="7.49767441860465"/>
    <col collapsed="false" hidden="false" max="7" min="7" style="20" width="8"/>
    <col collapsed="false" hidden="false" max="8" min="8" style="20" width="11.1255813953488"/>
    <col collapsed="false" hidden="false" max="10" min="9" style="20" width="8.12093023255814"/>
    <col collapsed="false" hidden="false" max="12" min="11" style="20" width="16.753488372093"/>
    <col collapsed="false" hidden="false" max="14" min="13" style="20" width="8.25116279069768"/>
    <col collapsed="false" hidden="false" max="15" min="15" style="20" width="17.3767441860465"/>
    <col collapsed="false" hidden="false" max="1025" min="16" style="20" width="8.25116279069768"/>
  </cols>
  <sheetData>
    <row collapsed="false" customFormat="false" customHeight="false" hidden="false" ht="31.5" outlineLevel="0" r="1">
      <c r="A1" s="16" t="s">
        <v>271</v>
      </c>
      <c r="B1" s="16"/>
      <c r="C1" s="16"/>
      <c r="D1" s="16"/>
      <c r="E1" s="16" t="s">
        <v>170</v>
      </c>
      <c r="F1" s="16"/>
      <c r="G1" s="16"/>
      <c r="H1" s="17"/>
      <c r="I1" s="17"/>
      <c r="J1" s="17"/>
      <c r="K1" s="17"/>
      <c r="L1" s="17"/>
      <c r="M1" s="18"/>
      <c r="N1" s="18"/>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row>
    <row collapsed="false" customFormat="false" customHeight="false" hidden="false" ht="126" outlineLevel="0" r="2">
      <c r="A2" s="101" t="s">
        <v>272</v>
      </c>
      <c r="B2" s="16"/>
      <c r="C2" s="16"/>
      <c r="D2" s="16"/>
      <c r="E2" s="16" t="s">
        <v>173</v>
      </c>
      <c r="F2" s="16" t="s">
        <v>2</v>
      </c>
      <c r="G2" s="16" t="s">
        <v>174</v>
      </c>
      <c r="H2" s="16" t="s">
        <v>175</v>
      </c>
      <c r="I2" s="17" t="s">
        <v>176</v>
      </c>
      <c r="J2" s="17" t="s">
        <v>177</v>
      </c>
      <c r="K2" s="17"/>
      <c r="L2" s="17"/>
      <c r="M2" s="18"/>
      <c r="N2" s="18"/>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row>
    <row collapsed="false" customFormat="false" customHeight="false" hidden="false" ht="31.5" outlineLevel="0" r="3">
      <c r="A3" s="16"/>
      <c r="B3" s="16"/>
      <c r="C3" s="16"/>
      <c r="D3" s="16"/>
      <c r="E3" s="16" t="s">
        <v>178</v>
      </c>
      <c r="F3" s="16" t="s">
        <v>2</v>
      </c>
      <c r="G3" s="16" t="s">
        <v>174</v>
      </c>
      <c r="H3" s="16" t="s">
        <v>175</v>
      </c>
      <c r="I3" s="17" t="s">
        <v>176</v>
      </c>
      <c r="J3" s="17"/>
      <c r="K3" s="17" t="s">
        <v>179</v>
      </c>
      <c r="L3" s="17"/>
      <c r="M3" s="18"/>
      <c r="N3" s="18"/>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row>
    <row collapsed="false" customFormat="false" customHeight="false" hidden="false" ht="15.75" outlineLevel="0" r="4">
      <c r="A4" s="16"/>
      <c r="B4" s="16"/>
      <c r="C4" s="16"/>
      <c r="D4" s="16"/>
      <c r="E4" s="16" t="s">
        <v>180</v>
      </c>
      <c r="F4" s="16" t="s">
        <v>2</v>
      </c>
      <c r="G4" s="16" t="s">
        <v>174</v>
      </c>
      <c r="H4" s="16"/>
      <c r="I4" s="17"/>
      <c r="J4" s="17"/>
      <c r="K4" s="17" t="s">
        <v>179</v>
      </c>
      <c r="L4" s="17"/>
      <c r="M4" s="18"/>
      <c r="N4" s="18"/>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row>
    <row collapsed="false" customFormat="false" customHeight="false" hidden="false" ht="48" outlineLevel="0" r="5">
      <c r="A5" s="16"/>
      <c r="B5" s="16"/>
      <c r="C5" s="16"/>
      <c r="D5" s="16"/>
      <c r="E5" s="16"/>
      <c r="F5" s="16"/>
      <c r="G5" s="16"/>
      <c r="H5" s="17"/>
      <c r="I5" s="17"/>
      <c r="J5" s="17"/>
      <c r="K5" s="17" t="str">
        <f aca="false">"-"&amp;2^15&amp;"&lt;VAL&lt;"&amp;2^16</f>
        <v>-32768&lt;VAL&lt;65536</v>
      </c>
      <c r="L5" s="17" t="str">
        <f aca="false">"-"&amp;2^15&amp;"&lt;VAL&lt;"&amp;2^16</f>
        <v>-32768&lt;VAL&lt;65536</v>
      </c>
      <c r="O5" s="18" t="s">
        <v>181</v>
      </c>
      <c r="P5" s="16" t="s">
        <v>182</v>
      </c>
      <c r="Q5" s="16" t="s">
        <v>183</v>
      </c>
      <c r="R5" s="16" t="s">
        <v>184</v>
      </c>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row>
    <row collapsed="false" customFormat="false" customHeight="false" hidden="false" ht="48" outlineLevel="0" r="6">
      <c r="A6" s="21" t="s">
        <v>185</v>
      </c>
      <c r="B6" s="22" t="s">
        <v>186</v>
      </c>
      <c r="C6" s="23" t="s">
        <v>187</v>
      </c>
      <c r="D6" s="26" t="s">
        <v>188</v>
      </c>
      <c r="E6" s="26" t="s">
        <v>189</v>
      </c>
      <c r="F6" s="26" t="s">
        <v>190</v>
      </c>
      <c r="G6" s="26" t="s">
        <v>185</v>
      </c>
      <c r="H6" s="58" t="s">
        <v>191</v>
      </c>
      <c r="I6" s="58" t="s">
        <v>192</v>
      </c>
      <c r="J6" s="58" t="s">
        <v>193</v>
      </c>
      <c r="K6" s="58" t="s">
        <v>194</v>
      </c>
      <c r="L6" s="58" t="s">
        <v>195</v>
      </c>
      <c r="M6" s="100" t="s">
        <v>196</v>
      </c>
      <c r="N6" s="100" t="s">
        <v>197</v>
      </c>
      <c r="O6" s="25" t="s">
        <v>198</v>
      </c>
      <c r="P6" s="26" t="s">
        <v>199</v>
      </c>
      <c r="Q6" s="27" t="s">
        <v>200</v>
      </c>
      <c r="R6" s="26" t="s">
        <v>201</v>
      </c>
      <c r="S6" s="34" t="s">
        <v>202</v>
      </c>
      <c r="T6" s="24" t="s">
        <v>203</v>
      </c>
      <c r="U6" s="24" t="s">
        <v>204</v>
      </c>
      <c r="V6" s="24" t="s">
        <v>205</v>
      </c>
      <c r="W6" s="24" t="s">
        <v>206</v>
      </c>
      <c r="X6" s="24" t="s">
        <v>207</v>
      </c>
      <c r="Y6" s="24" t="s">
        <v>208</v>
      </c>
      <c r="Z6" s="24" t="s">
        <v>209</v>
      </c>
      <c r="AA6" s="24" t="s">
        <v>210</v>
      </c>
      <c r="AB6" s="24" t="s">
        <v>211</v>
      </c>
      <c r="AC6" s="24" t="s">
        <v>212</v>
      </c>
      <c r="AD6" s="24" t="s">
        <v>213</v>
      </c>
      <c r="AE6" s="24" t="s">
        <v>214</v>
      </c>
      <c r="AF6" s="24" t="s">
        <v>215</v>
      </c>
      <c r="AG6" s="24" t="s">
        <v>216</v>
      </c>
      <c r="AH6" s="24" t="s">
        <v>217</v>
      </c>
      <c r="AI6" s="24" t="s">
        <v>218</v>
      </c>
      <c r="AJ6" s="24" t="s">
        <v>219</v>
      </c>
      <c r="AK6" s="24" t="s">
        <v>220</v>
      </c>
      <c r="AL6" s="24" t="s">
        <v>221</v>
      </c>
      <c r="AM6" s="24" t="s">
        <v>222</v>
      </c>
      <c r="AN6" s="24" t="s">
        <v>223</v>
      </c>
      <c r="AO6" s="24" t="s">
        <v>224</v>
      </c>
      <c r="AP6" s="24" t="s">
        <v>225</v>
      </c>
      <c r="AQ6" s="24" t="s">
        <v>226</v>
      </c>
      <c r="AR6" s="24" t="s">
        <v>227</v>
      </c>
      <c r="AS6" s="24" t="s">
        <v>228</v>
      </c>
      <c r="AT6" s="24" t="s">
        <v>229</v>
      </c>
      <c r="AU6" s="24" t="s">
        <v>230</v>
      </c>
    </row>
    <row collapsed="false" customFormat="false" customHeight="false" hidden="false" ht="32.25" outlineLevel="0" r="7">
      <c r="A7" s="30" t="str">
        <f aca="false">IF(AND(F7="B",IF(OR(G7="LD",G7="LDU",G7="ADD",G7="SUB",G7="AND",G7="OR",G7="XOR"),1,0)),CONCATENATE(G7,"#"),G7)</f>
        <v>NOP</v>
      </c>
      <c r="B7" s="24" t="s">
        <v>231</v>
      </c>
      <c r="C7" s="24" t="s">
        <v>232</v>
      </c>
      <c r="D7" s="24" t="str">
        <f aca="false">IF(F7="A",CONCATENATE(F7," ",G7," R",H7,",R",I7,",",J7),IF(F7="B",CONCATENATE(F7," ",G7," R",H7,",R",I7,",",K7),CONCATENATE(F7," ",G7," ",K7)))</f>
        <v>A NOP R0,R0,0</v>
      </c>
      <c r="E7" s="29"/>
      <c r="F7" s="30" t="s">
        <v>237</v>
      </c>
      <c r="G7" s="30" t="s">
        <v>68</v>
      </c>
      <c r="H7" s="31" t="n">
        <v>0</v>
      </c>
      <c r="I7" s="31" t="n">
        <v>0</v>
      </c>
      <c r="J7" s="31" t="n">
        <v>0</v>
      </c>
      <c r="K7" s="32" t="s">
        <v>231</v>
      </c>
      <c r="L7" s="32" t="s">
        <v>231</v>
      </c>
      <c r="M7" s="33" t="n">
        <v>0</v>
      </c>
      <c r="N7" s="24"/>
      <c r="O7" s="34" t="n">
        <v>0</v>
      </c>
      <c r="P7" s="34"/>
      <c r="Q7" s="24"/>
      <c r="R7" s="24"/>
    </row>
  </sheetData>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A1:BP2"/>
  <sheetViews>
    <sheetView colorId="64" defaultGridColor="true" rightToLeft="false" showFormulas="false" showGridLines="true" showOutlineSymbols="true" showRowColHeaders="true" showZeros="true" tabSelected="false" topLeftCell="A1" view="normal" windowProtection="false" workbookViewId="0" zoomScale="95" zoomScaleNormal="95" zoomScalePageLayoutView="100">
      <selection activeCell="A2" activeCellId="0" pane="topLeft" sqref="A2"/>
    </sheetView>
  </sheetViews>
  <sheetFormatPr defaultRowHeight="15.75"/>
  <cols>
    <col collapsed="false" hidden="false" max="1" min="1" style="0" width="12.5023255813953"/>
    <col collapsed="false" hidden="false" max="3" min="2" style="0" width="13.1255813953488"/>
    <col collapsed="false" hidden="false" max="4" min="4" style="0" width="9"/>
    <col collapsed="false" hidden="false" max="5" min="5" style="0" width="21.7488372093023"/>
    <col collapsed="false" hidden="false" max="1025" min="6" style="0" width="9"/>
  </cols>
  <sheetData>
    <row collapsed="false" customFormat="false" customHeight="false" hidden="false" ht="16.5" outlineLevel="0" r="1">
      <c r="A1" s="0" t="s">
        <v>273</v>
      </c>
      <c r="E1" s="102" t="s">
        <v>274</v>
      </c>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row>
    <row collapsed="false" customFormat="false" customHeight="false" hidden="false" ht="16.5" outlineLevel="0" r="2">
      <c r="A2" s="19" t="s">
        <v>185</v>
      </c>
      <c r="B2" s="19" t="s">
        <v>186</v>
      </c>
      <c r="C2" s="19" t="s">
        <v>275</v>
      </c>
      <c r="D2" s="19" t="s">
        <v>196</v>
      </c>
      <c r="E2" s="24" t="s">
        <v>198</v>
      </c>
      <c r="F2" s="24" t="s">
        <v>199</v>
      </c>
      <c r="G2" s="24" t="s">
        <v>200</v>
      </c>
      <c r="H2" s="24" t="s">
        <v>201</v>
      </c>
      <c r="I2" s="24" t="s">
        <v>202</v>
      </c>
      <c r="J2" s="24" t="s">
        <v>203</v>
      </c>
      <c r="K2" s="24" t="s">
        <v>204</v>
      </c>
      <c r="L2" s="24" t="s">
        <v>205</v>
      </c>
      <c r="M2" s="24" t="s">
        <v>206</v>
      </c>
      <c r="N2" s="24" t="s">
        <v>207</v>
      </c>
      <c r="O2" s="24" t="s">
        <v>208</v>
      </c>
      <c r="P2" s="24" t="s">
        <v>209</v>
      </c>
      <c r="Q2" s="24" t="s">
        <v>210</v>
      </c>
      <c r="R2" s="24" t="s">
        <v>211</v>
      </c>
      <c r="S2" s="24" t="s">
        <v>212</v>
      </c>
      <c r="T2" s="24" t="s">
        <v>213</v>
      </c>
      <c r="U2" s="24" t="s">
        <v>214</v>
      </c>
      <c r="V2" s="24" t="s">
        <v>215</v>
      </c>
      <c r="W2" s="24" t="s">
        <v>216</v>
      </c>
      <c r="X2" s="24" t="s">
        <v>217</v>
      </c>
      <c r="Y2" s="24" t="s">
        <v>218</v>
      </c>
      <c r="Z2" s="24" t="s">
        <v>219</v>
      </c>
      <c r="AA2" s="24" t="s">
        <v>220</v>
      </c>
      <c r="AB2" s="24" t="s">
        <v>221</v>
      </c>
      <c r="AC2" s="24" t="s">
        <v>222</v>
      </c>
      <c r="AD2" s="24" t="s">
        <v>223</v>
      </c>
      <c r="AE2" s="24" t="s">
        <v>224</v>
      </c>
      <c r="AF2" s="24" t="s">
        <v>225</v>
      </c>
      <c r="AG2" s="24" t="s">
        <v>226</v>
      </c>
      <c r="AH2" s="24" t="s">
        <v>227</v>
      </c>
      <c r="AI2" s="24" t="s">
        <v>228</v>
      </c>
      <c r="AJ2" s="24" t="s">
        <v>229</v>
      </c>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row>
  </sheetData>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sheetPr filterMode="false">
    <pageSetUpPr fitToPage="false"/>
  </sheetPr>
  <dimension ref="A1:EB4"/>
  <sheetViews>
    <sheetView colorId="64" defaultGridColor="true" rightToLeft="false" showFormulas="false" showGridLines="true" showOutlineSymbols="true" showRowColHeaders="true" showZeros="true" tabSelected="false" topLeftCell="D1" view="normal" windowProtection="false" workbookViewId="0" zoomScale="95" zoomScaleNormal="95" zoomScalePageLayoutView="100">
      <selection activeCell="A1" activeCellId="0" pane="topLeft" sqref="A1"/>
    </sheetView>
  </sheetViews>
  <sheetFormatPr defaultRowHeight="15.75"/>
  <cols>
    <col collapsed="false" hidden="false" max="1" min="1" style="0" width="9"/>
    <col collapsed="false" hidden="false" max="2" min="2" style="0" width="13.1255813953488"/>
    <col collapsed="false" hidden="false" max="4" min="3" style="0" width="9"/>
    <col collapsed="false" hidden="false" max="5" min="5" style="0" width="21.7488372093023"/>
    <col collapsed="false" hidden="false" max="6" min="6" style="0" width="11.6232558139535"/>
    <col collapsed="false" hidden="false" max="7" min="7" style="0" width="19.5023255813954"/>
    <col collapsed="false" hidden="false" max="68" min="8" style="0" width="8.61395348837209"/>
    <col collapsed="false" hidden="false" max="69" min="69" style="0" width="11.6232558139535"/>
    <col collapsed="false" hidden="false" max="1025" min="70" style="0" width="8.61395348837209"/>
  </cols>
  <sheetData>
    <row collapsed="false" customFormat="false" customHeight="false" hidden="false" ht="15.75" outlineLevel="0" r="1">
      <c r="A1" s="0" t="s">
        <v>276</v>
      </c>
    </row>
    <row collapsed="false" customFormat="false" customHeight="false" hidden="false" ht="16.5" outlineLevel="0" r="2">
      <c r="E2" s="103" t="s">
        <v>277</v>
      </c>
      <c r="F2" s="102" t="s">
        <v>278</v>
      </c>
      <c r="G2" s="19" t="s">
        <v>279</v>
      </c>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04" t="s">
        <v>278</v>
      </c>
    </row>
    <row collapsed="false" customFormat="false" customHeight="false" hidden="false" ht="17.25" outlineLevel="0" r="3">
      <c r="A3" s="19" t="s">
        <v>185</v>
      </c>
      <c r="B3" s="19" t="s">
        <v>186</v>
      </c>
      <c r="C3" s="19" t="s">
        <v>275</v>
      </c>
      <c r="D3" s="19" t="s">
        <v>196</v>
      </c>
      <c r="E3" s="30" t="s">
        <v>198</v>
      </c>
      <c r="F3" s="24" t="s">
        <v>199</v>
      </c>
      <c r="G3" s="24" t="s">
        <v>200</v>
      </c>
      <c r="H3" s="24" t="s">
        <v>201</v>
      </c>
      <c r="I3" s="24" t="s">
        <v>202</v>
      </c>
      <c r="J3" s="24" t="s">
        <v>203</v>
      </c>
      <c r="K3" s="24" t="s">
        <v>204</v>
      </c>
      <c r="L3" s="24" t="s">
        <v>205</v>
      </c>
      <c r="M3" s="24" t="s">
        <v>206</v>
      </c>
      <c r="N3" s="24" t="s">
        <v>207</v>
      </c>
      <c r="O3" s="24" t="s">
        <v>208</v>
      </c>
      <c r="P3" s="24" t="s">
        <v>209</v>
      </c>
      <c r="Q3" s="24" t="s">
        <v>210</v>
      </c>
      <c r="R3" s="24" t="s">
        <v>211</v>
      </c>
      <c r="S3" s="24" t="s">
        <v>212</v>
      </c>
      <c r="T3" s="24" t="s">
        <v>213</v>
      </c>
      <c r="U3" s="24" t="s">
        <v>214</v>
      </c>
      <c r="V3" s="24" t="s">
        <v>215</v>
      </c>
      <c r="W3" s="24" t="s">
        <v>216</v>
      </c>
      <c r="X3" s="24" t="s">
        <v>217</v>
      </c>
      <c r="Y3" s="24" t="s">
        <v>218</v>
      </c>
      <c r="Z3" s="24" t="s">
        <v>219</v>
      </c>
      <c r="AA3" s="24" t="s">
        <v>220</v>
      </c>
      <c r="AB3" s="24" t="s">
        <v>221</v>
      </c>
      <c r="AC3" s="24" t="s">
        <v>222</v>
      </c>
      <c r="AD3" s="24" t="s">
        <v>223</v>
      </c>
      <c r="AE3" s="24" t="s">
        <v>224</v>
      </c>
      <c r="AF3" s="24" t="s">
        <v>225</v>
      </c>
      <c r="AG3" s="24" t="s">
        <v>226</v>
      </c>
      <c r="AH3" s="24" t="s">
        <v>227</v>
      </c>
      <c r="AI3" s="24" t="s">
        <v>228</v>
      </c>
      <c r="AJ3" s="24" t="s">
        <v>229</v>
      </c>
      <c r="AK3" s="24" t="s">
        <v>230</v>
      </c>
      <c r="AL3" s="24" t="s">
        <v>280</v>
      </c>
      <c r="AM3" s="24" t="s">
        <v>281</v>
      </c>
      <c r="AN3" s="24" t="s">
        <v>282</v>
      </c>
      <c r="AO3" s="24" t="s">
        <v>283</v>
      </c>
      <c r="AP3" s="24" t="s">
        <v>284</v>
      </c>
      <c r="AQ3" s="24" t="s">
        <v>285</v>
      </c>
      <c r="AR3" s="24" t="s">
        <v>286</v>
      </c>
      <c r="AS3" s="24" t="s">
        <v>287</v>
      </c>
      <c r="AT3" s="24" t="s">
        <v>288</v>
      </c>
      <c r="AU3" s="24" t="s">
        <v>289</v>
      </c>
      <c r="AV3" s="24" t="s">
        <v>290</v>
      </c>
      <c r="AW3" s="24" t="s">
        <v>291</v>
      </c>
      <c r="AX3" s="24" t="s">
        <v>292</v>
      </c>
      <c r="AY3" s="24" t="s">
        <v>293</v>
      </c>
      <c r="AZ3" s="24" t="s">
        <v>294</v>
      </c>
      <c r="BA3" s="24" t="s">
        <v>295</v>
      </c>
      <c r="BB3" s="24" t="s">
        <v>296</v>
      </c>
      <c r="BC3" s="24" t="s">
        <v>297</v>
      </c>
      <c r="BD3" s="24" t="s">
        <v>298</v>
      </c>
      <c r="BE3" s="24" t="s">
        <v>299</v>
      </c>
      <c r="BF3" s="24" t="s">
        <v>300</v>
      </c>
      <c r="BG3" s="24" t="s">
        <v>301</v>
      </c>
      <c r="BH3" s="24" t="s">
        <v>302</v>
      </c>
      <c r="BI3" s="24" t="s">
        <v>303</v>
      </c>
      <c r="BJ3" s="24" t="s">
        <v>304</v>
      </c>
      <c r="BK3" s="24" t="s">
        <v>305</v>
      </c>
      <c r="BL3" s="24" t="s">
        <v>306</v>
      </c>
      <c r="BM3" s="24" t="s">
        <v>307</v>
      </c>
      <c r="BN3" s="24" t="s">
        <v>308</v>
      </c>
      <c r="BO3" s="33" t="s">
        <v>309</v>
      </c>
      <c r="BP3" s="24" t="s">
        <v>310</v>
      </c>
      <c r="BQ3" s="53" t="s">
        <v>311</v>
      </c>
      <c r="BR3" s="24" t="s">
        <v>312</v>
      </c>
      <c r="BS3" s="24" t="s">
        <v>313</v>
      </c>
      <c r="BT3" s="24" t="s">
        <v>314</v>
      </c>
      <c r="BU3" s="24" t="s">
        <v>315</v>
      </c>
      <c r="BV3" s="24" t="s">
        <v>316</v>
      </c>
      <c r="BW3" s="24" t="s">
        <v>317</v>
      </c>
      <c r="BX3" s="24" t="s">
        <v>318</v>
      </c>
      <c r="BY3" s="24" t="s">
        <v>319</v>
      </c>
      <c r="BZ3" s="24" t="s">
        <v>320</v>
      </c>
      <c r="CA3" s="24" t="s">
        <v>321</v>
      </c>
      <c r="CB3" s="24" t="s">
        <v>322</v>
      </c>
      <c r="CC3" s="24" t="s">
        <v>323</v>
      </c>
      <c r="CD3" s="24" t="s">
        <v>324</v>
      </c>
      <c r="CE3" s="24" t="s">
        <v>325</v>
      </c>
      <c r="CF3" s="24" t="s">
        <v>326</v>
      </c>
      <c r="CG3" s="24" t="s">
        <v>327</v>
      </c>
      <c r="CH3" s="24" t="s">
        <v>328</v>
      </c>
      <c r="CI3" s="24" t="s">
        <v>329</v>
      </c>
      <c r="CJ3" s="24" t="s">
        <v>330</v>
      </c>
      <c r="CK3" s="24" t="s">
        <v>331</v>
      </c>
      <c r="CL3" s="24" t="s">
        <v>332</v>
      </c>
      <c r="CM3" s="24" t="s">
        <v>333</v>
      </c>
      <c r="CN3" s="24" t="s">
        <v>334</v>
      </c>
      <c r="CO3" s="24" t="s">
        <v>335</v>
      </c>
      <c r="CP3" s="24" t="s">
        <v>336</v>
      </c>
      <c r="CQ3" s="24" t="s">
        <v>337</v>
      </c>
      <c r="CR3" s="24" t="s">
        <v>338</v>
      </c>
      <c r="CS3" s="24" t="s">
        <v>339</v>
      </c>
      <c r="CT3" s="24" t="s">
        <v>340</v>
      </c>
      <c r="CU3" s="24" t="s">
        <v>341</v>
      </c>
      <c r="CV3" s="24" t="s">
        <v>342</v>
      </c>
      <c r="CW3" s="24" t="s">
        <v>343</v>
      </c>
      <c r="CX3" s="24" t="s">
        <v>344</v>
      </c>
      <c r="CY3" s="24" t="s">
        <v>345</v>
      </c>
      <c r="CZ3" s="24" t="s">
        <v>346</v>
      </c>
      <c r="DA3" s="24" t="s">
        <v>347</v>
      </c>
      <c r="DB3" s="24" t="s">
        <v>348</v>
      </c>
      <c r="DC3" s="24" t="s">
        <v>349</v>
      </c>
      <c r="DD3" s="24" t="s">
        <v>350</v>
      </c>
      <c r="DE3" s="24" t="s">
        <v>351</v>
      </c>
      <c r="DF3" s="24" t="s">
        <v>352</v>
      </c>
      <c r="DG3" s="24" t="s">
        <v>353</v>
      </c>
      <c r="DH3" s="24" t="s">
        <v>354</v>
      </c>
      <c r="DI3" s="24" t="s">
        <v>355</v>
      </c>
      <c r="DJ3" s="24" t="s">
        <v>356</v>
      </c>
      <c r="DK3" s="24" t="s">
        <v>357</v>
      </c>
      <c r="DL3" s="24" t="s">
        <v>358</v>
      </c>
      <c r="DM3" s="24" t="s">
        <v>359</v>
      </c>
      <c r="DN3" s="24" t="s">
        <v>360</v>
      </c>
      <c r="DO3" s="24" t="s">
        <v>361</v>
      </c>
      <c r="DP3" s="24" t="s">
        <v>362</v>
      </c>
      <c r="DQ3" s="24" t="s">
        <v>363</v>
      </c>
      <c r="DR3" s="24" t="s">
        <v>364</v>
      </c>
      <c r="DS3" s="24" t="s">
        <v>365</v>
      </c>
      <c r="DT3" s="24" t="s">
        <v>366</v>
      </c>
      <c r="DU3" s="24" t="s">
        <v>367</v>
      </c>
      <c r="DV3" s="24" t="s">
        <v>368</v>
      </c>
      <c r="DW3" s="24" t="s">
        <v>369</v>
      </c>
      <c r="DX3" s="24" t="s">
        <v>370</v>
      </c>
      <c r="DY3" s="24" t="s">
        <v>371</v>
      </c>
      <c r="DZ3" s="24" t="s">
        <v>372</v>
      </c>
      <c r="EA3" s="24" t="s">
        <v>373</v>
      </c>
      <c r="EB3" s="24" t="s">
        <v>374</v>
      </c>
    </row>
    <row collapsed="false" customFormat="false" customHeight="false" hidden="false" ht="16.5" outlineLevel="0" r="4"/>
  </sheetData>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sheetPr filterMode="false">
    <pageSetUpPr fitToPage="false"/>
  </sheetPr>
  <dimension ref="A1:AK57"/>
  <sheetViews>
    <sheetView colorId="64" defaultGridColor="true" rightToLeft="false" showFormulas="false" showGridLines="true" showOutlineSymbols="true" showRowColHeaders="true" showZeros="true" tabSelected="true" topLeftCell="A1" view="normal" windowProtection="false" workbookViewId="0" zoomScale="95" zoomScaleNormal="95" zoomScalePageLayoutView="100">
      <selection activeCell="P30" activeCellId="0" pane="topLeft" sqref="P30"/>
    </sheetView>
  </sheetViews>
  <sheetFormatPr defaultRowHeight="15.25"/>
  <cols>
    <col collapsed="false" hidden="false" max="1" min="1" style="105" width="22.2"/>
    <col collapsed="false" hidden="false" max="2" min="2" style="105" width="36.9348837209302"/>
    <col collapsed="false" hidden="false" max="3" min="3" style="105" width="34.8"/>
    <col collapsed="false" hidden="false" max="4" min="4" style="105" width="9.92093023255814"/>
    <col collapsed="false" hidden="false" max="5" min="5" style="105" width="13.1767441860465"/>
    <col collapsed="false" hidden="false" max="6" min="6" style="105" width="9.73023255813954"/>
    <col collapsed="false" hidden="false" max="7" min="7" style="105" width="7.8093023255814"/>
    <col collapsed="false" hidden="false" max="8" min="8" style="105" width="9.92093023255814"/>
    <col collapsed="false" hidden="false" max="9" min="9" style="105" width="13.1767441860465"/>
    <col collapsed="false" hidden="false" max="10" min="10" style="105" width="3.21395348837209"/>
    <col collapsed="false" hidden="false" max="11" min="11" style="105" width="5.71162790697674"/>
    <col collapsed="false" hidden="false" max="12" min="12" style="105" width="9.15813953488372"/>
    <col collapsed="false" hidden="false" max="13" min="13" style="105" width="13.1767441860465"/>
    <col collapsed="false" hidden="false" max="14" min="14" style="105" width="3.21395348837209"/>
    <col collapsed="false" hidden="false" max="15" min="15" style="105" width="5.71162790697674"/>
    <col collapsed="false" hidden="false" max="16" min="16" style="105" width="9.15813953488372"/>
    <col collapsed="false" hidden="false" max="17" min="17" style="105" width="13.1767441860465"/>
    <col collapsed="false" hidden="false" max="18" min="18" style="105" width="3.21395348837209"/>
    <col collapsed="false" hidden="false" max="19" min="19" style="106" width="5.71162790697674"/>
    <col collapsed="false" hidden="false" max="20" min="20" style="105" width="9.15813953488372"/>
    <col collapsed="false" hidden="false" max="21" min="21" style="105" width="13.1767441860465"/>
    <col collapsed="false" hidden="false" max="22" min="22" style="105" width="3.21395348837209"/>
    <col collapsed="false" hidden="false" max="23" min="23" style="105" width="5.71162790697674"/>
    <col collapsed="false" hidden="false" max="24" min="24" style="105" width="9.15813953488372"/>
    <col collapsed="false" hidden="false" max="25" min="25" style="105" width="12.9767441860465"/>
    <col collapsed="false" hidden="false" max="26" min="26" style="105" width="3.21395348837209"/>
    <col collapsed="false" hidden="false" max="27" min="27" style="105" width="5.71162790697674"/>
    <col collapsed="false" hidden="false" max="28" min="28" style="105" width="9.15813953488372"/>
    <col collapsed="false" hidden="false" max="29" min="29" style="105" width="13.1767441860465"/>
    <col collapsed="false" hidden="false" max="30" min="30" style="105" width="3.21395348837209"/>
    <col collapsed="false" hidden="false" max="31" min="31" style="105" width="5.71162790697674"/>
    <col collapsed="false" hidden="false" max="32" min="32" style="105" width="23.506976744186"/>
    <col collapsed="false" hidden="false" max="33" min="33" style="105" width="9.34418604651163"/>
    <col collapsed="false" hidden="false" max="34" min="34" style="105" width="13.1767441860465"/>
    <col collapsed="false" hidden="false" max="35" min="35" style="105" width="3.6"/>
    <col collapsed="false" hidden="false" max="36" min="36" style="105" width="5.71162790697674"/>
    <col collapsed="false" hidden="false" max="37" min="37" style="105" width="2.45116279069767"/>
    <col collapsed="false" hidden="false" max="1025" min="38" style="105" width="9"/>
  </cols>
  <sheetData>
    <row collapsed="false" customFormat="true" customHeight="false" hidden="false" ht="15.25" outlineLevel="0" r="1" s="107">
      <c r="A1" s="107" t="s">
        <v>375</v>
      </c>
      <c r="H1" s="105"/>
      <c r="I1" s="105"/>
      <c r="J1" s="105"/>
      <c r="K1" s="105"/>
      <c r="S1" s="106"/>
    </row>
    <row collapsed="false" customFormat="true" customHeight="false" hidden="false" ht="17.65" outlineLevel="0" r="2" s="111">
      <c r="A2" s="108"/>
      <c r="B2" s="109" t="s">
        <v>376</v>
      </c>
      <c r="C2" s="109"/>
      <c r="D2" s="110" t="s">
        <v>377</v>
      </c>
      <c r="E2" s="110"/>
      <c r="F2" s="110"/>
      <c r="G2" s="110"/>
      <c r="H2" s="108" t="s">
        <v>378</v>
      </c>
      <c r="I2" s="108"/>
      <c r="J2" s="108"/>
      <c r="K2" s="108"/>
      <c r="L2" s="110" t="s">
        <v>379</v>
      </c>
      <c r="M2" s="110"/>
      <c r="N2" s="110"/>
      <c r="O2" s="110"/>
      <c r="P2" s="108" t="s">
        <v>380</v>
      </c>
      <c r="Q2" s="108"/>
      <c r="R2" s="108"/>
      <c r="S2" s="108"/>
      <c r="T2" s="110" t="s">
        <v>381</v>
      </c>
      <c r="U2" s="110"/>
      <c r="V2" s="110"/>
      <c r="W2" s="110"/>
      <c r="X2" s="108" t="s">
        <v>382</v>
      </c>
      <c r="Y2" s="108"/>
      <c r="Z2" s="108"/>
      <c r="AA2" s="108"/>
      <c r="AB2" s="110" t="s">
        <v>383</v>
      </c>
      <c r="AC2" s="110"/>
      <c r="AD2" s="110"/>
      <c r="AE2" s="110"/>
      <c r="AF2" s="108"/>
      <c r="AG2" s="108" t="s">
        <v>384</v>
      </c>
      <c r="AH2" s="108"/>
      <c r="AI2" s="108"/>
      <c r="AJ2" s="108"/>
    </row>
    <row collapsed="false" customFormat="true" customHeight="false" hidden="false" ht="15.25" outlineLevel="0" r="3" s="116">
      <c r="A3" s="112"/>
      <c r="B3" s="113" t="s">
        <v>385</v>
      </c>
      <c r="C3" s="113" t="s">
        <v>275</v>
      </c>
      <c r="D3" s="114" t="s">
        <v>386</v>
      </c>
      <c r="E3" s="114" t="s">
        <v>387</v>
      </c>
      <c r="F3" s="114" t="s">
        <v>196</v>
      </c>
      <c r="G3" s="114" t="s">
        <v>388</v>
      </c>
      <c r="H3" s="113" t="s">
        <v>386</v>
      </c>
      <c r="I3" s="113" t="s">
        <v>387</v>
      </c>
      <c r="J3" s="113" t="s">
        <v>196</v>
      </c>
      <c r="K3" s="113" t="s">
        <v>388</v>
      </c>
      <c r="L3" s="114" t="s">
        <v>386</v>
      </c>
      <c r="M3" s="114" t="s">
        <v>387</v>
      </c>
      <c r="N3" s="114" t="s">
        <v>196</v>
      </c>
      <c r="O3" s="114" t="s">
        <v>388</v>
      </c>
      <c r="P3" s="113" t="s">
        <v>386</v>
      </c>
      <c r="Q3" s="113" t="s">
        <v>387</v>
      </c>
      <c r="R3" s="113" t="s">
        <v>196</v>
      </c>
      <c r="S3" s="115" t="s">
        <v>388</v>
      </c>
      <c r="T3" s="114" t="s">
        <v>386</v>
      </c>
      <c r="U3" s="114" t="s">
        <v>387</v>
      </c>
      <c r="V3" s="114" t="s">
        <v>196</v>
      </c>
      <c r="W3" s="114" t="s">
        <v>388</v>
      </c>
      <c r="X3" s="113" t="s">
        <v>386</v>
      </c>
      <c r="Y3" s="113" t="s">
        <v>387</v>
      </c>
      <c r="Z3" s="113" t="s">
        <v>196</v>
      </c>
      <c r="AA3" s="113" t="s">
        <v>388</v>
      </c>
      <c r="AB3" s="114" t="s">
        <v>386</v>
      </c>
      <c r="AC3" s="114" t="s">
        <v>387</v>
      </c>
      <c r="AD3" s="114" t="s">
        <v>196</v>
      </c>
      <c r="AE3" s="114" t="s">
        <v>388</v>
      </c>
      <c r="AF3" s="112"/>
      <c r="AG3" s="112" t="s">
        <v>389</v>
      </c>
      <c r="AH3" s="112" t="s">
        <v>387</v>
      </c>
      <c r="AI3" s="112" t="s">
        <v>196</v>
      </c>
      <c r="AJ3" s="112" t="s">
        <v>388</v>
      </c>
    </row>
    <row collapsed="false" customFormat="false" customHeight="false" hidden="false" ht="15.7" outlineLevel="0" r="4">
      <c r="A4" s="117" t="s">
        <v>390</v>
      </c>
      <c r="B4" s="118" t="s">
        <v>391</v>
      </c>
      <c r="C4" s="119" t="s">
        <v>392</v>
      </c>
      <c r="D4" s="120"/>
      <c r="E4" s="120"/>
      <c r="F4" s="120"/>
      <c r="G4" s="120"/>
      <c r="H4" s="121" t="s">
        <v>393</v>
      </c>
      <c r="I4" s="121" t="s">
        <v>392</v>
      </c>
      <c r="J4" s="121" t="n">
        <v>1</v>
      </c>
      <c r="K4" s="121" t="n">
        <v>2</v>
      </c>
      <c r="L4" s="122" t="s">
        <v>394</v>
      </c>
      <c r="M4" s="122" t="s">
        <v>10</v>
      </c>
      <c r="N4" s="122" t="n">
        <v>1</v>
      </c>
      <c r="O4" s="122" t="n">
        <v>2</v>
      </c>
      <c r="P4" s="121" t="s">
        <v>395</v>
      </c>
      <c r="Q4" s="121" t="s">
        <v>231</v>
      </c>
      <c r="R4" s="121" t="s">
        <v>10</v>
      </c>
      <c r="S4" s="123" t="s">
        <v>16</v>
      </c>
      <c r="T4" s="120" t="s">
        <v>395</v>
      </c>
      <c r="U4" s="120" t="s">
        <v>231</v>
      </c>
      <c r="V4" s="120" t="s">
        <v>10</v>
      </c>
      <c r="W4" s="120" t="s">
        <v>16</v>
      </c>
      <c r="X4" s="121" t="s">
        <v>394</v>
      </c>
      <c r="Y4" s="121" t="s">
        <v>10</v>
      </c>
      <c r="Z4" s="121" t="s">
        <v>10</v>
      </c>
      <c r="AA4" s="121" t="s">
        <v>19</v>
      </c>
      <c r="AB4" s="122" t="s">
        <v>394</v>
      </c>
      <c r="AC4" s="122" t="s">
        <v>10</v>
      </c>
      <c r="AD4" s="122" t="s">
        <v>10</v>
      </c>
      <c r="AE4" s="122" t="s">
        <v>22</v>
      </c>
      <c r="AF4" s="124"/>
      <c r="AG4" s="125" t="s">
        <v>396</v>
      </c>
      <c r="AH4" s="125"/>
      <c r="AI4" s="125" t="s">
        <v>10</v>
      </c>
      <c r="AJ4" s="125" t="s">
        <v>13</v>
      </c>
      <c r="AK4" s="105" t="s">
        <v>397</v>
      </c>
    </row>
    <row collapsed="false" customFormat="false" customHeight="false" hidden="false" ht="15.7" outlineLevel="0" r="5">
      <c r="A5" s="117" t="s">
        <v>398</v>
      </c>
      <c r="B5" s="118" t="s">
        <v>399</v>
      </c>
      <c r="C5" s="119" t="s">
        <v>400</v>
      </c>
      <c r="D5" s="120"/>
      <c r="E5" s="120"/>
      <c r="F5" s="120"/>
      <c r="G5" s="120"/>
      <c r="H5" s="121" t="s">
        <v>401</v>
      </c>
      <c r="I5" s="121" t="s">
        <v>400</v>
      </c>
      <c r="J5" s="121" t="n">
        <v>2</v>
      </c>
      <c r="K5" s="121" t="n">
        <v>2</v>
      </c>
      <c r="L5" s="122" t="s">
        <v>402</v>
      </c>
      <c r="M5" s="122" t="s">
        <v>19</v>
      </c>
      <c r="N5" s="122" t="n">
        <v>2</v>
      </c>
      <c r="O5" s="122" t="n">
        <v>2</v>
      </c>
      <c r="P5" s="121" t="s">
        <v>394</v>
      </c>
      <c r="Q5" s="121" t="s">
        <v>10</v>
      </c>
      <c r="R5" s="121" t="s">
        <v>13</v>
      </c>
      <c r="S5" s="123" t="s">
        <v>16</v>
      </c>
      <c r="T5" s="120" t="s">
        <v>395</v>
      </c>
      <c r="U5" s="120" t="s">
        <v>231</v>
      </c>
      <c r="V5" s="120" t="s">
        <v>13</v>
      </c>
      <c r="W5" s="120" t="s">
        <v>16</v>
      </c>
      <c r="X5" s="121" t="s">
        <v>403</v>
      </c>
      <c r="Y5" s="121" t="s">
        <v>22</v>
      </c>
      <c r="Z5" s="121" t="s">
        <v>13</v>
      </c>
      <c r="AA5" s="121" t="s">
        <v>19</v>
      </c>
      <c r="AB5" s="122" t="s">
        <v>403</v>
      </c>
      <c r="AC5" s="122" t="s">
        <v>22</v>
      </c>
      <c r="AD5" s="122" t="s">
        <v>13</v>
      </c>
      <c r="AE5" s="122" t="s">
        <v>22</v>
      </c>
      <c r="AF5" s="124"/>
      <c r="AG5" s="121" t="s">
        <v>395</v>
      </c>
      <c r="AH5" s="121"/>
      <c r="AI5" s="121" t="s">
        <v>10</v>
      </c>
      <c r="AJ5" s="121" t="s">
        <v>16</v>
      </c>
    </row>
    <row collapsed="false" customFormat="false" customHeight="false" hidden="false" ht="15.7" outlineLevel="0" r="6">
      <c r="A6" s="117" t="s">
        <v>404</v>
      </c>
      <c r="B6" s="118" t="s">
        <v>405</v>
      </c>
      <c r="C6" s="119" t="s">
        <v>406</v>
      </c>
      <c r="D6" s="120"/>
      <c r="E6" s="120"/>
      <c r="F6" s="120"/>
      <c r="G6" s="120"/>
      <c r="H6" s="121" t="s">
        <v>407</v>
      </c>
      <c r="I6" s="121" t="s">
        <v>406</v>
      </c>
      <c r="J6" s="121" t="n">
        <v>3</v>
      </c>
      <c r="K6" s="121" t="n">
        <v>2</v>
      </c>
      <c r="L6" s="122" t="s">
        <v>408</v>
      </c>
      <c r="M6" s="122" t="s">
        <v>409</v>
      </c>
      <c r="N6" s="122" t="n">
        <v>3</v>
      </c>
      <c r="O6" s="122" t="n">
        <v>2</v>
      </c>
      <c r="P6" s="121" t="s">
        <v>395</v>
      </c>
      <c r="Q6" s="121" t="s">
        <v>231</v>
      </c>
      <c r="R6" s="121" t="s">
        <v>16</v>
      </c>
      <c r="S6" s="123" t="s">
        <v>16</v>
      </c>
      <c r="T6" s="120" t="s">
        <v>394</v>
      </c>
      <c r="U6" s="120" t="s">
        <v>231</v>
      </c>
      <c r="V6" s="120" t="s">
        <v>16</v>
      </c>
      <c r="W6" s="120" t="s">
        <v>16</v>
      </c>
      <c r="X6" s="121" t="s">
        <v>408</v>
      </c>
      <c r="Y6" s="121" t="s">
        <v>409</v>
      </c>
      <c r="Z6" s="121" t="s">
        <v>16</v>
      </c>
      <c r="AA6" s="121" t="s">
        <v>19</v>
      </c>
      <c r="AB6" s="122" t="s">
        <v>408</v>
      </c>
      <c r="AC6" s="122" t="s">
        <v>409</v>
      </c>
      <c r="AD6" s="122" t="s">
        <v>16</v>
      </c>
      <c r="AE6" s="122" t="s">
        <v>22</v>
      </c>
      <c r="AF6" s="124"/>
      <c r="AG6" s="126" t="s">
        <v>395</v>
      </c>
      <c r="AH6" s="126" t="s">
        <v>397</v>
      </c>
      <c r="AI6" s="126" t="n">
        <v>2</v>
      </c>
      <c r="AJ6" s="126" t="n">
        <v>3</v>
      </c>
    </row>
    <row collapsed="false" customFormat="false" customHeight="false" hidden="false" ht="15.7" outlineLevel="0" r="7">
      <c r="A7" s="117" t="s">
        <v>410</v>
      </c>
      <c r="B7" s="118" t="s">
        <v>411</v>
      </c>
      <c r="C7" s="119" t="s">
        <v>412</v>
      </c>
      <c r="D7" s="120"/>
      <c r="E7" s="120"/>
      <c r="F7" s="120"/>
      <c r="G7" s="120"/>
      <c r="H7" s="121" t="s">
        <v>413</v>
      </c>
      <c r="I7" s="121" t="s">
        <v>412</v>
      </c>
      <c r="J7" s="121" t="n">
        <v>4</v>
      </c>
      <c r="K7" s="121" t="n">
        <v>2</v>
      </c>
      <c r="L7" s="122" t="s">
        <v>408</v>
      </c>
      <c r="M7" s="122" t="s">
        <v>409</v>
      </c>
      <c r="N7" s="122" t="n">
        <v>4</v>
      </c>
      <c r="O7" s="122" t="n">
        <v>2</v>
      </c>
      <c r="P7" s="121" t="s">
        <v>408</v>
      </c>
      <c r="Q7" s="121" t="s">
        <v>409</v>
      </c>
      <c r="R7" s="121" t="s">
        <v>19</v>
      </c>
      <c r="S7" s="123" t="n">
        <v>3</v>
      </c>
      <c r="T7" s="120" t="s">
        <v>395</v>
      </c>
      <c r="U7" s="120" t="s">
        <v>231</v>
      </c>
      <c r="V7" s="120" t="s">
        <v>19</v>
      </c>
      <c r="W7" s="120" t="s">
        <v>16</v>
      </c>
      <c r="X7" s="121" t="s">
        <v>395</v>
      </c>
      <c r="Y7" s="121" t="s">
        <v>70</v>
      </c>
      <c r="Z7" s="121" t="s">
        <v>19</v>
      </c>
      <c r="AA7" s="121" t="s">
        <v>19</v>
      </c>
      <c r="AB7" s="122" t="s">
        <v>395</v>
      </c>
      <c r="AC7" s="122" t="s">
        <v>70</v>
      </c>
      <c r="AD7" s="122" t="s">
        <v>19</v>
      </c>
      <c r="AE7" s="122" t="s">
        <v>22</v>
      </c>
      <c r="AF7" s="124"/>
      <c r="AG7" s="125" t="s">
        <v>414</v>
      </c>
      <c r="AH7" s="125" t="s">
        <v>415</v>
      </c>
      <c r="AI7" s="125" t="s">
        <v>16</v>
      </c>
      <c r="AJ7" s="125" t="s">
        <v>16</v>
      </c>
      <c r="AK7" s="105" t="s">
        <v>416</v>
      </c>
    </row>
    <row collapsed="false" customFormat="false" customHeight="false" hidden="false" ht="15.7" outlineLevel="0" r="8">
      <c r="A8" s="117" t="s">
        <v>417</v>
      </c>
      <c r="B8" s="118" t="s">
        <v>418</v>
      </c>
      <c r="C8" s="119" t="s">
        <v>419</v>
      </c>
      <c r="D8" s="120"/>
      <c r="E8" s="120"/>
      <c r="F8" s="120"/>
      <c r="G8" s="120"/>
      <c r="H8" s="121" t="s">
        <v>420</v>
      </c>
      <c r="I8" s="121" t="s">
        <v>419</v>
      </c>
      <c r="J8" s="121" t="n">
        <v>5</v>
      </c>
      <c r="K8" s="121" t="n">
        <v>2</v>
      </c>
      <c r="L8" s="122" t="s">
        <v>421</v>
      </c>
      <c r="M8" s="122" t="s">
        <v>64</v>
      </c>
      <c r="N8" s="122" t="n">
        <v>5</v>
      </c>
      <c r="O8" s="122" t="n">
        <v>2</v>
      </c>
      <c r="P8" s="121" t="s">
        <v>395</v>
      </c>
      <c r="Q8" s="121" t="s">
        <v>231</v>
      </c>
      <c r="R8" s="121" t="s">
        <v>22</v>
      </c>
      <c r="S8" s="123" t="n">
        <v>3</v>
      </c>
      <c r="T8" s="120" t="s">
        <v>408</v>
      </c>
      <c r="U8" s="120" t="s">
        <v>231</v>
      </c>
      <c r="V8" s="120" t="s">
        <v>22</v>
      </c>
      <c r="W8" s="120" t="s">
        <v>16</v>
      </c>
      <c r="X8" s="121" t="s">
        <v>421</v>
      </c>
      <c r="Y8" s="121" t="s">
        <v>64</v>
      </c>
      <c r="Z8" s="121" t="s">
        <v>22</v>
      </c>
      <c r="AA8" s="121" t="s">
        <v>19</v>
      </c>
      <c r="AB8" s="122" t="s">
        <v>421</v>
      </c>
      <c r="AC8" s="122" t="s">
        <v>64</v>
      </c>
      <c r="AD8" s="122" t="s">
        <v>22</v>
      </c>
      <c r="AE8" s="122" t="s">
        <v>22</v>
      </c>
      <c r="AF8" s="124"/>
      <c r="AG8" s="125" t="s">
        <v>396</v>
      </c>
      <c r="AH8" s="125"/>
      <c r="AI8" s="125" t="s">
        <v>19</v>
      </c>
      <c r="AJ8" s="125" t="s">
        <v>16</v>
      </c>
      <c r="AK8" s="105" t="s">
        <v>397</v>
      </c>
    </row>
    <row collapsed="false" customFormat="false" customHeight="false" hidden="false" ht="15.7" outlineLevel="0" r="9">
      <c r="A9" s="117" t="s">
        <v>422</v>
      </c>
      <c r="B9" s="118" t="s">
        <v>423</v>
      </c>
      <c r="C9" s="119" t="s">
        <v>424</v>
      </c>
      <c r="D9" s="120"/>
      <c r="E9" s="120"/>
      <c r="F9" s="120"/>
      <c r="G9" s="120"/>
      <c r="H9" s="121" t="s">
        <v>425</v>
      </c>
      <c r="I9" s="121" t="s">
        <v>424</v>
      </c>
      <c r="J9" s="121" t="n">
        <v>6</v>
      </c>
      <c r="K9" s="121" t="n">
        <v>2</v>
      </c>
      <c r="L9" s="122" t="s">
        <v>426</v>
      </c>
      <c r="M9" s="122" t="s">
        <v>151</v>
      </c>
      <c r="N9" s="122" t="n">
        <v>6</v>
      </c>
      <c r="O9" s="122" t="n">
        <v>2</v>
      </c>
      <c r="P9" s="121" t="s">
        <v>421</v>
      </c>
      <c r="Q9" s="121" t="s">
        <v>64</v>
      </c>
      <c r="R9" s="121" t="s">
        <v>25</v>
      </c>
      <c r="S9" s="123" t="n">
        <v>3</v>
      </c>
      <c r="T9" s="120" t="s">
        <v>395</v>
      </c>
      <c r="U9" s="120" t="s">
        <v>231</v>
      </c>
      <c r="V9" s="120" t="s">
        <v>25</v>
      </c>
      <c r="W9" s="120" t="s">
        <v>16</v>
      </c>
      <c r="X9" s="127" t="s">
        <v>427</v>
      </c>
      <c r="Y9" s="127" t="s">
        <v>428</v>
      </c>
      <c r="Z9" s="127" t="s">
        <v>25</v>
      </c>
      <c r="AA9" s="127" t="s">
        <v>19</v>
      </c>
      <c r="AB9" s="128" t="s">
        <v>427</v>
      </c>
      <c r="AC9" s="128" t="s">
        <v>428</v>
      </c>
      <c r="AD9" s="128" t="s">
        <v>25</v>
      </c>
      <c r="AE9" s="128" t="s">
        <v>22</v>
      </c>
      <c r="AF9" s="124" t="s">
        <v>429</v>
      </c>
      <c r="AG9" s="121" t="s">
        <v>395</v>
      </c>
      <c r="AH9" s="121"/>
      <c r="AI9" s="121" t="s">
        <v>22</v>
      </c>
      <c r="AJ9" s="121" t="s">
        <v>16</v>
      </c>
    </row>
    <row collapsed="false" customFormat="false" customHeight="false" hidden="false" ht="15.7" outlineLevel="0" r="10">
      <c r="A10" s="117" t="s">
        <v>430</v>
      </c>
      <c r="B10" s="118" t="s">
        <v>431</v>
      </c>
      <c r="C10" s="119" t="s">
        <v>432</v>
      </c>
      <c r="D10" s="120"/>
      <c r="E10" s="120"/>
      <c r="F10" s="120"/>
      <c r="G10" s="120"/>
      <c r="H10" s="121" t="s">
        <v>433</v>
      </c>
      <c r="I10" s="121" t="s">
        <v>432</v>
      </c>
      <c r="J10" s="121" t="n">
        <v>7</v>
      </c>
      <c r="K10" s="121" t="n">
        <v>2</v>
      </c>
      <c r="L10" s="122" t="s">
        <v>434</v>
      </c>
      <c r="M10" s="122" t="s">
        <v>37</v>
      </c>
      <c r="N10" s="122" t="n">
        <v>7</v>
      </c>
      <c r="O10" s="122" t="n">
        <v>2</v>
      </c>
      <c r="P10" s="121" t="s">
        <v>395</v>
      </c>
      <c r="Q10" s="121" t="s">
        <v>231</v>
      </c>
      <c r="R10" s="121" t="s">
        <v>28</v>
      </c>
      <c r="S10" s="123" t="n">
        <v>3</v>
      </c>
      <c r="T10" s="120" t="s">
        <v>421</v>
      </c>
      <c r="U10" s="120" t="s">
        <v>231</v>
      </c>
      <c r="V10" s="120" t="s">
        <v>28</v>
      </c>
      <c r="W10" s="120" t="s">
        <v>16</v>
      </c>
      <c r="X10" s="121" t="s">
        <v>434</v>
      </c>
      <c r="Y10" s="121" t="s">
        <v>37</v>
      </c>
      <c r="Z10" s="121" t="s">
        <v>28</v>
      </c>
      <c r="AA10" s="121" t="s">
        <v>19</v>
      </c>
      <c r="AB10" s="122" t="s">
        <v>434</v>
      </c>
      <c r="AC10" s="122" t="s">
        <v>37</v>
      </c>
      <c r="AD10" s="122" t="s">
        <v>28</v>
      </c>
      <c r="AE10" s="122" t="s">
        <v>22</v>
      </c>
      <c r="AF10" s="124"/>
      <c r="AG10" s="121" t="s">
        <v>395</v>
      </c>
      <c r="AH10" s="129"/>
      <c r="AI10" s="121" t="s">
        <v>25</v>
      </c>
      <c r="AJ10" s="121" t="s">
        <v>16</v>
      </c>
    </row>
    <row collapsed="false" customFormat="false" customHeight="false" hidden="false" ht="15.7" outlineLevel="0" r="11">
      <c r="A11" s="117" t="s">
        <v>435</v>
      </c>
      <c r="B11" s="118" t="s">
        <v>436</v>
      </c>
      <c r="C11" s="119" t="s">
        <v>437</v>
      </c>
      <c r="D11" s="120"/>
      <c r="E11" s="120"/>
      <c r="F11" s="120"/>
      <c r="G11" s="120"/>
      <c r="H11" s="121" t="s">
        <v>438</v>
      </c>
      <c r="I11" s="121" t="s">
        <v>437</v>
      </c>
      <c r="J11" s="121" t="n">
        <v>8</v>
      </c>
      <c r="K11" s="121" t="n">
        <v>2</v>
      </c>
      <c r="L11" s="122" t="s">
        <v>439</v>
      </c>
      <c r="M11" s="122" t="s">
        <v>16</v>
      </c>
      <c r="N11" s="122" t="n">
        <v>8</v>
      </c>
      <c r="O11" s="122" t="n">
        <v>2</v>
      </c>
      <c r="P11" s="121" t="s">
        <v>434</v>
      </c>
      <c r="Q11" s="121" t="s">
        <v>37</v>
      </c>
      <c r="R11" s="121" t="s">
        <v>33</v>
      </c>
      <c r="S11" s="123" t="n">
        <v>3</v>
      </c>
      <c r="T11" s="120" t="s">
        <v>395</v>
      </c>
      <c r="U11" s="120" t="s">
        <v>231</v>
      </c>
      <c r="V11" s="120" t="s">
        <v>33</v>
      </c>
      <c r="W11" s="120" t="s">
        <v>16</v>
      </c>
      <c r="X11" s="127" t="s">
        <v>440</v>
      </c>
      <c r="Y11" s="127" t="s">
        <v>73</v>
      </c>
      <c r="Z11" s="127" t="s">
        <v>33</v>
      </c>
      <c r="AA11" s="127" t="s">
        <v>19</v>
      </c>
      <c r="AB11" s="128" t="s">
        <v>440</v>
      </c>
      <c r="AC11" s="128" t="s">
        <v>73</v>
      </c>
      <c r="AD11" s="128" t="s">
        <v>33</v>
      </c>
      <c r="AE11" s="128" t="s">
        <v>22</v>
      </c>
      <c r="AF11" s="124" t="s">
        <v>441</v>
      </c>
      <c r="AG11" s="121" t="s">
        <v>395</v>
      </c>
      <c r="AH11" s="121"/>
      <c r="AI11" s="121" t="s">
        <v>28</v>
      </c>
      <c r="AJ11" s="121" t="s">
        <v>16</v>
      </c>
    </row>
    <row collapsed="false" customFormat="false" customHeight="false" hidden="false" ht="15.7" outlineLevel="0" r="12">
      <c r="A12" s="117" t="s">
        <v>442</v>
      </c>
      <c r="B12" s="118" t="s">
        <v>443</v>
      </c>
      <c r="C12" s="119" t="s">
        <v>444</v>
      </c>
      <c r="D12" s="120"/>
      <c r="E12" s="120"/>
      <c r="F12" s="120"/>
      <c r="G12" s="120"/>
      <c r="H12" s="121" t="s">
        <v>445</v>
      </c>
      <c r="I12" s="121" t="s">
        <v>444</v>
      </c>
      <c r="J12" s="121" t="n">
        <v>9</v>
      </c>
      <c r="K12" s="121" t="n">
        <v>2</v>
      </c>
      <c r="L12" s="122" t="s">
        <v>446</v>
      </c>
      <c r="M12" s="122" t="s">
        <v>13</v>
      </c>
      <c r="N12" s="122" t="n">
        <v>9</v>
      </c>
      <c r="O12" s="122" t="n">
        <v>2</v>
      </c>
      <c r="P12" s="121" t="s">
        <v>395</v>
      </c>
      <c r="Q12" s="121" t="s">
        <v>231</v>
      </c>
      <c r="R12" s="121" t="s">
        <v>37</v>
      </c>
      <c r="S12" s="123" t="n">
        <v>3</v>
      </c>
      <c r="T12" s="120" t="s">
        <v>434</v>
      </c>
      <c r="U12" s="120" t="s">
        <v>231</v>
      </c>
      <c r="V12" s="120" t="s">
        <v>37</v>
      </c>
      <c r="W12" s="120" t="s">
        <v>16</v>
      </c>
      <c r="X12" s="121" t="s">
        <v>446</v>
      </c>
      <c r="Y12" s="121" t="s">
        <v>13</v>
      </c>
      <c r="Z12" s="121" t="s">
        <v>37</v>
      </c>
      <c r="AA12" s="121" t="s">
        <v>19</v>
      </c>
      <c r="AB12" s="122" t="s">
        <v>446</v>
      </c>
      <c r="AC12" s="122" t="s">
        <v>13</v>
      </c>
      <c r="AD12" s="122" t="s">
        <v>37</v>
      </c>
      <c r="AE12" s="122" t="s">
        <v>22</v>
      </c>
      <c r="AF12" s="124"/>
      <c r="AG12" s="121" t="s">
        <v>395</v>
      </c>
      <c r="AH12" s="129"/>
      <c r="AI12" s="121" t="s">
        <v>33</v>
      </c>
      <c r="AJ12" s="121" t="s">
        <v>16</v>
      </c>
    </row>
    <row collapsed="false" customFormat="false" customHeight="false" hidden="false" ht="15.7" outlineLevel="0" r="13">
      <c r="A13" s="130" t="s">
        <v>447</v>
      </c>
      <c r="B13" s="118" t="s">
        <v>448</v>
      </c>
      <c r="C13" s="119" t="s">
        <v>449</v>
      </c>
      <c r="D13" s="120"/>
      <c r="E13" s="120"/>
      <c r="F13" s="120"/>
      <c r="G13" s="120"/>
      <c r="H13" s="121" t="s">
        <v>450</v>
      </c>
      <c r="I13" s="121" t="s">
        <v>449</v>
      </c>
      <c r="J13" s="121" t="s">
        <v>237</v>
      </c>
      <c r="K13" s="121" t="n">
        <v>2</v>
      </c>
      <c r="L13" s="122" t="s">
        <v>440</v>
      </c>
      <c r="M13" s="122" t="s">
        <v>51</v>
      </c>
      <c r="N13" s="122" t="s">
        <v>237</v>
      </c>
      <c r="O13" s="122" t="n">
        <v>2</v>
      </c>
      <c r="P13" s="121" t="s">
        <v>446</v>
      </c>
      <c r="Q13" s="121" t="s">
        <v>13</v>
      </c>
      <c r="R13" s="121" t="s">
        <v>237</v>
      </c>
      <c r="S13" s="123" t="n">
        <v>3</v>
      </c>
      <c r="T13" s="120" t="s">
        <v>395</v>
      </c>
      <c r="U13" s="120" t="s">
        <v>231</v>
      </c>
      <c r="V13" s="120" t="s">
        <v>237</v>
      </c>
      <c r="W13" s="120" t="s">
        <v>16</v>
      </c>
      <c r="X13" s="121" t="s">
        <v>451</v>
      </c>
      <c r="Y13" s="121" t="s">
        <v>452</v>
      </c>
      <c r="Z13" s="121" t="s">
        <v>237</v>
      </c>
      <c r="AA13" s="121" t="s">
        <v>19</v>
      </c>
      <c r="AB13" s="122" t="s">
        <v>451</v>
      </c>
      <c r="AC13" s="122" t="s">
        <v>452</v>
      </c>
      <c r="AD13" s="122" t="s">
        <v>237</v>
      </c>
      <c r="AE13" s="122" t="s">
        <v>22</v>
      </c>
      <c r="AF13" s="124"/>
      <c r="AG13" s="121" t="s">
        <v>395</v>
      </c>
      <c r="AH13" s="121"/>
      <c r="AI13" s="121" t="s">
        <v>37</v>
      </c>
      <c r="AJ13" s="121" t="s">
        <v>16</v>
      </c>
    </row>
    <row collapsed="false" customFormat="false" customHeight="false" hidden="false" ht="15.25" outlineLevel="0" r="14">
      <c r="A14" s="124"/>
      <c r="B14" s="124"/>
      <c r="C14" s="124"/>
      <c r="D14" s="124"/>
      <c r="E14" s="124"/>
      <c r="F14" s="124"/>
      <c r="G14" s="124"/>
      <c r="H14" s="124"/>
      <c r="I14" s="124"/>
      <c r="J14" s="124"/>
      <c r="K14" s="124"/>
      <c r="L14" s="124"/>
      <c r="M14" s="124"/>
      <c r="N14" s="124"/>
      <c r="O14" s="124"/>
      <c r="P14" s="124"/>
      <c r="Q14" s="124"/>
      <c r="R14" s="124"/>
      <c r="S14" s="131"/>
      <c r="T14" s="124" t="s">
        <v>395</v>
      </c>
      <c r="U14" s="124"/>
      <c r="V14" s="124" t="s">
        <v>233</v>
      </c>
      <c r="W14" s="124" t="s">
        <v>16</v>
      </c>
      <c r="X14" s="124"/>
      <c r="Y14" s="124"/>
      <c r="Z14" s="124"/>
      <c r="AA14" s="124"/>
      <c r="AB14" s="124"/>
      <c r="AC14" s="124"/>
      <c r="AD14" s="124"/>
      <c r="AE14" s="124"/>
      <c r="AF14" s="124"/>
      <c r="AG14" s="121" t="s">
        <v>395</v>
      </c>
      <c r="AH14" s="121"/>
      <c r="AI14" s="121" t="s">
        <v>237</v>
      </c>
      <c r="AJ14" s="121" t="s">
        <v>16</v>
      </c>
    </row>
    <row collapsed="false" customFormat="false" customHeight="false" hidden="false" ht="17.65" outlineLevel="0" r="16">
      <c r="B16" s="109" t="s">
        <v>376</v>
      </c>
      <c r="C16" s="109"/>
      <c r="D16" s="110" t="s">
        <v>453</v>
      </c>
      <c r="E16" s="110"/>
      <c r="F16" s="110"/>
      <c r="G16" s="110"/>
    </row>
    <row collapsed="false" customFormat="false" customHeight="false" hidden="false" ht="15.25" outlineLevel="0" r="17">
      <c r="B17" s="113" t="s">
        <v>385</v>
      </c>
      <c r="C17" s="113" t="s">
        <v>275</v>
      </c>
      <c r="D17" s="114" t="s">
        <v>386</v>
      </c>
      <c r="E17" s="114" t="s">
        <v>387</v>
      </c>
      <c r="F17" s="114" t="s">
        <v>196</v>
      </c>
      <c r="G17" s="114" t="s">
        <v>388</v>
      </c>
    </row>
    <row collapsed="false" customFormat="false" customHeight="false" hidden="false" ht="15.7" outlineLevel="0" r="18">
      <c r="B18" s="118" t="s">
        <v>391</v>
      </c>
      <c r="C18" s="119" t="n">
        <v>400063</v>
      </c>
      <c r="D18" s="120" t="s">
        <v>393</v>
      </c>
      <c r="E18" s="120"/>
      <c r="F18" s="120" t="n">
        <v>0</v>
      </c>
      <c r="G18" s="120" t="n">
        <v>1</v>
      </c>
    </row>
    <row collapsed="false" customFormat="false" customHeight="false" hidden="false" ht="15.25" outlineLevel="0" r="19">
      <c r="B19" s="118"/>
      <c r="C19" s="119"/>
      <c r="D19" s="120"/>
      <c r="E19" s="120"/>
      <c r="F19" s="120"/>
      <c r="G19" s="120"/>
    </row>
    <row collapsed="false" customFormat="false" customHeight="false" hidden="false" ht="15.7" outlineLevel="0" r="20">
      <c r="B20" s="118" t="s">
        <v>399</v>
      </c>
      <c r="C20" s="119" t="s">
        <v>400</v>
      </c>
      <c r="D20" s="120" t="s">
        <v>454</v>
      </c>
      <c r="E20" s="120"/>
      <c r="F20" s="120" t="n">
        <v>1</v>
      </c>
      <c r="G20" s="120" t="n">
        <v>2</v>
      </c>
    </row>
    <row collapsed="false" customFormat="false" customHeight="false" hidden="false" ht="15.25" outlineLevel="0" r="21">
      <c r="B21" s="118"/>
      <c r="C21" s="119"/>
      <c r="D21" s="120" t="s">
        <v>401</v>
      </c>
      <c r="E21" s="120"/>
      <c r="F21" s="120" t="n">
        <v>1</v>
      </c>
      <c r="G21" s="120" t="n">
        <v>4</v>
      </c>
    </row>
    <row collapsed="false" customFormat="false" customHeight="false" hidden="false" ht="15.7" outlineLevel="0" r="22">
      <c r="B22" s="118" t="s">
        <v>405</v>
      </c>
      <c r="C22" s="119" t="s">
        <v>406</v>
      </c>
      <c r="D22" s="120" t="s">
        <v>455</v>
      </c>
      <c r="E22" s="120"/>
      <c r="F22" s="120" t="n">
        <v>2</v>
      </c>
      <c r="G22" s="120" t="n">
        <v>2</v>
      </c>
    </row>
    <row collapsed="false" customFormat="false" customHeight="false" hidden="false" ht="15.25" outlineLevel="0" r="23">
      <c r="B23" s="118"/>
      <c r="C23" s="119"/>
      <c r="D23" s="120" t="s">
        <v>407</v>
      </c>
      <c r="E23" s="120"/>
      <c r="F23" s="120" t="n">
        <v>2</v>
      </c>
      <c r="G23" s="120" t="n">
        <v>1</v>
      </c>
    </row>
    <row collapsed="false" customFormat="false" customHeight="false" hidden="false" ht="15.7" outlineLevel="0" r="24">
      <c r="B24" s="118" t="s">
        <v>456</v>
      </c>
      <c r="C24" s="119" t="s">
        <v>412</v>
      </c>
      <c r="D24" s="120" t="s">
        <v>455</v>
      </c>
      <c r="E24" s="120"/>
      <c r="F24" s="120" t="n">
        <v>3</v>
      </c>
      <c r="G24" s="120" t="n">
        <v>2</v>
      </c>
    </row>
    <row collapsed="false" customFormat="false" customHeight="false" hidden="false" ht="15.25" outlineLevel="0" r="25">
      <c r="B25" s="118"/>
      <c r="C25" s="119"/>
      <c r="D25" s="120" t="s">
        <v>413</v>
      </c>
      <c r="E25" s="120"/>
      <c r="F25" s="120" t="n">
        <v>3</v>
      </c>
      <c r="G25" s="120" t="n">
        <v>4</v>
      </c>
    </row>
    <row collapsed="false" customFormat="false" customHeight="false" hidden="false" ht="15.7" outlineLevel="0" r="26">
      <c r="B26" s="118" t="s">
        <v>418</v>
      </c>
      <c r="C26" s="119" t="n">
        <v>4003000</v>
      </c>
      <c r="D26" s="120" t="s">
        <v>457</v>
      </c>
      <c r="E26" s="120"/>
      <c r="F26" s="120" t="n">
        <v>4</v>
      </c>
      <c r="G26" s="120" t="n">
        <v>2</v>
      </c>
    </row>
    <row collapsed="false" customFormat="false" customHeight="false" hidden="false" ht="15.25" outlineLevel="0" r="27">
      <c r="B27" s="118"/>
      <c r="C27" s="119"/>
      <c r="D27" s="120" t="s">
        <v>420</v>
      </c>
      <c r="E27" s="120"/>
      <c r="F27" s="120" t="n">
        <v>4</v>
      </c>
      <c r="G27" s="120" t="n">
        <v>1</v>
      </c>
    </row>
    <row collapsed="false" customFormat="false" customHeight="false" hidden="false" ht="15.7" outlineLevel="0" r="28">
      <c r="B28" s="118" t="s">
        <v>423</v>
      </c>
      <c r="C28" s="119" t="s">
        <v>424</v>
      </c>
      <c r="D28" s="120" t="s">
        <v>458</v>
      </c>
      <c r="E28" s="120"/>
      <c r="F28" s="120" t="n">
        <v>5</v>
      </c>
      <c r="G28" s="120" t="n">
        <v>2</v>
      </c>
    </row>
    <row collapsed="false" customFormat="false" customHeight="false" hidden="false" ht="15.25" outlineLevel="0" r="29">
      <c r="B29" s="118"/>
      <c r="C29" s="119"/>
      <c r="D29" s="120" t="s">
        <v>425</v>
      </c>
      <c r="E29" s="120"/>
      <c r="F29" s="120" t="n">
        <v>5</v>
      </c>
      <c r="G29" s="120" t="n">
        <v>4</v>
      </c>
    </row>
    <row collapsed="false" customFormat="false" customHeight="false" hidden="false" ht="15.7" outlineLevel="0" r="30">
      <c r="B30" s="118" t="s">
        <v>431</v>
      </c>
      <c r="C30" s="119" t="n">
        <v>400263</v>
      </c>
      <c r="D30" s="120" t="s">
        <v>459</v>
      </c>
      <c r="E30" s="120"/>
      <c r="F30" s="120" t="n">
        <v>6</v>
      </c>
      <c r="G30" s="120" t="n">
        <v>2</v>
      </c>
    </row>
    <row collapsed="false" customFormat="false" customHeight="false" hidden="false" ht="15.25" outlineLevel="0" r="31">
      <c r="B31" s="118"/>
      <c r="C31" s="119"/>
      <c r="D31" s="120" t="s">
        <v>433</v>
      </c>
      <c r="E31" s="120"/>
      <c r="F31" s="120" t="n">
        <v>6</v>
      </c>
      <c r="G31" s="120" t="n">
        <v>1</v>
      </c>
    </row>
    <row collapsed="false" customFormat="false" customHeight="false" hidden="false" ht="15.7" outlineLevel="0" r="32">
      <c r="B32" s="118" t="s">
        <v>436</v>
      </c>
      <c r="C32" s="119" t="s">
        <v>437</v>
      </c>
      <c r="D32" s="120" t="s">
        <v>460</v>
      </c>
      <c r="E32" s="120"/>
      <c r="F32" s="120" t="n">
        <v>7</v>
      </c>
      <c r="G32" s="120" t="n">
        <v>2</v>
      </c>
    </row>
    <row collapsed="false" customFormat="false" customHeight="false" hidden="false" ht="15.25" outlineLevel="0" r="33">
      <c r="B33" s="118"/>
      <c r="C33" s="119"/>
      <c r="D33" s="120" t="s">
        <v>438</v>
      </c>
      <c r="E33" s="120"/>
      <c r="F33" s="120" t="n">
        <v>7</v>
      </c>
      <c r="G33" s="120" t="n">
        <v>4</v>
      </c>
    </row>
    <row collapsed="false" customFormat="false" customHeight="false" hidden="false" ht="15.7" outlineLevel="0" r="34">
      <c r="B34" s="118" t="s">
        <v>443</v>
      </c>
      <c r="C34" s="119" t="s">
        <v>444</v>
      </c>
      <c r="D34" s="120" t="s">
        <v>454</v>
      </c>
      <c r="E34" s="120"/>
      <c r="F34" s="120" t="n">
        <v>8</v>
      </c>
      <c r="G34" s="120" t="n">
        <v>2</v>
      </c>
    </row>
    <row collapsed="false" customFormat="false" customHeight="false" hidden="false" ht="15.25" outlineLevel="0" r="35">
      <c r="B35" s="118"/>
      <c r="C35" s="119"/>
      <c r="D35" s="120" t="s">
        <v>445</v>
      </c>
      <c r="E35" s="120"/>
      <c r="F35" s="120" t="n">
        <v>8</v>
      </c>
      <c r="G35" s="120" t="n">
        <v>1</v>
      </c>
    </row>
    <row collapsed="false" customFormat="false" customHeight="false" hidden="false" ht="15.7" outlineLevel="0" r="36">
      <c r="B36" s="118" t="s">
        <v>448</v>
      </c>
      <c r="C36" s="119" t="s">
        <v>449</v>
      </c>
      <c r="D36" s="120" t="s">
        <v>461</v>
      </c>
      <c r="E36" s="120"/>
      <c r="F36" s="120" t="n">
        <v>9</v>
      </c>
      <c r="G36" s="120" t="n">
        <v>2</v>
      </c>
    </row>
    <row collapsed="false" customFormat="false" customHeight="false" hidden="false" ht="15.25" outlineLevel="0" r="37">
      <c r="B37" s="118"/>
      <c r="C37" s="119"/>
      <c r="D37" s="120" t="s">
        <v>450</v>
      </c>
      <c r="E37" s="120"/>
      <c r="F37" s="120" t="n">
        <v>9</v>
      </c>
      <c r="G37" s="120" t="n">
        <v>4</v>
      </c>
    </row>
    <row collapsed="false" customFormat="false" customHeight="false" hidden="false" ht="15.25" outlineLevel="0" r="39">
      <c r="A39" s="124"/>
      <c r="B39" s="119" t="s">
        <v>462</v>
      </c>
      <c r="C39" s="119"/>
      <c r="D39" s="119"/>
      <c r="E39" s="119"/>
      <c r="F39" s="119"/>
      <c r="G39" s="119"/>
    </row>
    <row collapsed="false" customFormat="false" customHeight="false" hidden="false" ht="15.7" outlineLevel="0" r="40">
      <c r="A40" s="124"/>
      <c r="B40" s="124"/>
      <c r="C40" s="124"/>
      <c r="D40" s="124" t="s">
        <v>463</v>
      </c>
      <c r="E40" s="124" t="s">
        <v>464</v>
      </c>
      <c r="F40" s="124" t="s">
        <v>465</v>
      </c>
      <c r="G40" s="124" t="s">
        <v>3</v>
      </c>
    </row>
    <row collapsed="false" customFormat="false" customHeight="false" hidden="false" ht="15.25" outlineLevel="0" r="41">
      <c r="A41" s="124"/>
      <c r="B41" s="124" t="s">
        <v>432</v>
      </c>
      <c r="C41" s="132" t="s">
        <v>466</v>
      </c>
      <c r="D41" s="132" t="n">
        <v>0</v>
      </c>
      <c r="E41" s="132" t="n">
        <v>1</v>
      </c>
      <c r="F41" s="132" t="n">
        <v>9</v>
      </c>
      <c r="G41" s="132" t="n">
        <v>33</v>
      </c>
    </row>
    <row collapsed="false" customFormat="false" customHeight="false" hidden="false" ht="15.25" outlineLevel="0" r="42">
      <c r="A42" s="124"/>
      <c r="B42" s="124" t="s">
        <v>424</v>
      </c>
      <c r="C42" s="124" t="s">
        <v>467</v>
      </c>
      <c r="D42" s="124" t="s">
        <v>10</v>
      </c>
      <c r="E42" s="124" t="s">
        <v>16</v>
      </c>
      <c r="F42" s="124" t="s">
        <v>151</v>
      </c>
      <c r="G42" s="124" t="s">
        <v>110</v>
      </c>
    </row>
    <row collapsed="false" customFormat="false" customHeight="false" hidden="false" ht="15.25" outlineLevel="0" r="43">
      <c r="A43" s="124"/>
      <c r="B43" s="124"/>
      <c r="C43" s="124"/>
      <c r="D43" s="124"/>
      <c r="E43" s="124"/>
      <c r="F43" s="124"/>
      <c r="G43" s="124"/>
    </row>
    <row collapsed="false" customFormat="false" customHeight="false" hidden="false" ht="15.7" outlineLevel="0" r="44">
      <c r="A44" s="124" t="s">
        <v>468</v>
      </c>
      <c r="B44" s="119"/>
      <c r="C44" s="119"/>
      <c r="D44" s="119"/>
      <c r="E44" s="119"/>
      <c r="F44" s="119"/>
      <c r="G44" s="119"/>
      <c r="L44" s="107"/>
      <c r="M44" s="107"/>
      <c r="N44" s="107"/>
      <c r="O44" s="107"/>
      <c r="P44" s="107"/>
      <c r="Q44" s="107"/>
      <c r="R44" s="107"/>
      <c r="T44" s="107"/>
      <c r="U44" s="107"/>
      <c r="V44" s="107"/>
      <c r="W44" s="107"/>
      <c r="X44" s="107"/>
      <c r="Y44" s="107"/>
      <c r="Z44" s="107"/>
      <c r="AA44" s="107"/>
      <c r="AB44" s="107"/>
      <c r="AC44" s="107"/>
      <c r="AD44" s="107"/>
      <c r="AE44" s="107"/>
      <c r="AF44" s="107"/>
      <c r="AG44" s="107"/>
      <c r="AH44" s="107"/>
      <c r="AI44" s="107"/>
      <c r="AJ44" s="107"/>
    </row>
    <row collapsed="false" customFormat="false" customHeight="false" hidden="false" ht="17.65" outlineLevel="0" r="45">
      <c r="A45" s="132" t="s">
        <v>376</v>
      </c>
      <c r="B45" s="132"/>
      <c r="C45" s="132"/>
      <c r="D45" s="110" t="s">
        <v>377</v>
      </c>
      <c r="E45" s="110"/>
      <c r="F45" s="110"/>
      <c r="G45" s="110"/>
      <c r="H45" s="108" t="s">
        <v>378</v>
      </c>
      <c r="I45" s="108"/>
      <c r="J45" s="108"/>
      <c r="K45" s="108"/>
      <c r="L45" s="110" t="s">
        <v>379</v>
      </c>
      <c r="M45" s="110"/>
      <c r="N45" s="110"/>
      <c r="O45" s="110"/>
      <c r="P45" s="108" t="s">
        <v>380</v>
      </c>
      <c r="Q45" s="108"/>
      <c r="R45" s="108"/>
      <c r="S45" s="108"/>
      <c r="T45" s="110" t="s">
        <v>381</v>
      </c>
      <c r="U45" s="110"/>
      <c r="V45" s="110"/>
      <c r="W45" s="110"/>
      <c r="X45" s="108" t="s">
        <v>382</v>
      </c>
      <c r="Y45" s="108"/>
      <c r="Z45" s="108"/>
      <c r="AA45" s="108"/>
      <c r="AB45" s="110" t="s">
        <v>383</v>
      </c>
      <c r="AC45" s="110"/>
      <c r="AD45" s="110"/>
      <c r="AE45" s="110"/>
      <c r="AF45" s="111"/>
      <c r="AG45" s="133"/>
      <c r="AH45" s="133"/>
      <c r="AI45" s="133"/>
      <c r="AJ45" s="133"/>
    </row>
    <row collapsed="false" customFormat="false" customHeight="false" hidden="false" ht="15.25" outlineLevel="0" r="46">
      <c r="A46" s="119" t="s">
        <v>469</v>
      </c>
      <c r="B46" s="113" t="s">
        <v>385</v>
      </c>
      <c r="C46" s="113" t="s">
        <v>275</v>
      </c>
      <c r="D46" s="114" t="s">
        <v>386</v>
      </c>
      <c r="E46" s="114" t="s">
        <v>387</v>
      </c>
      <c r="F46" s="114" t="s">
        <v>196</v>
      </c>
      <c r="G46" s="114" t="s">
        <v>388</v>
      </c>
      <c r="H46" s="113" t="s">
        <v>386</v>
      </c>
      <c r="I46" s="113" t="s">
        <v>387</v>
      </c>
      <c r="J46" s="113" t="s">
        <v>196</v>
      </c>
      <c r="K46" s="113" t="s">
        <v>388</v>
      </c>
      <c r="L46" s="114" t="s">
        <v>386</v>
      </c>
      <c r="M46" s="114" t="s">
        <v>387</v>
      </c>
      <c r="N46" s="114" t="s">
        <v>196</v>
      </c>
      <c r="O46" s="114" t="s">
        <v>388</v>
      </c>
      <c r="P46" s="113" t="s">
        <v>386</v>
      </c>
      <c r="Q46" s="113" t="s">
        <v>387</v>
      </c>
      <c r="R46" s="113" t="s">
        <v>196</v>
      </c>
      <c r="S46" s="115" t="s">
        <v>388</v>
      </c>
      <c r="T46" s="114" t="s">
        <v>386</v>
      </c>
      <c r="U46" s="114" t="s">
        <v>387</v>
      </c>
      <c r="V46" s="114" t="s">
        <v>196</v>
      </c>
      <c r="W46" s="114" t="s">
        <v>388</v>
      </c>
      <c r="X46" s="113" t="s">
        <v>386</v>
      </c>
      <c r="Y46" s="113" t="s">
        <v>387</v>
      </c>
      <c r="Z46" s="113" t="s">
        <v>196</v>
      </c>
      <c r="AA46" s="113" t="s">
        <v>388</v>
      </c>
      <c r="AB46" s="114" t="s">
        <v>386</v>
      </c>
      <c r="AC46" s="114" t="s">
        <v>387</v>
      </c>
      <c r="AD46" s="114" t="s">
        <v>196</v>
      </c>
      <c r="AE46" s="114" t="s">
        <v>388</v>
      </c>
      <c r="AF46" s="116"/>
      <c r="AG46" s="133"/>
      <c r="AH46" s="133"/>
      <c r="AI46" s="133"/>
      <c r="AJ46" s="133"/>
    </row>
    <row collapsed="false" customFormat="false" customHeight="false" hidden="false" ht="15.7" outlineLevel="0" r="47">
      <c r="A47" s="119" t="s">
        <v>470</v>
      </c>
      <c r="B47" s="118" t="s">
        <v>471</v>
      </c>
      <c r="C47" s="119" t="s">
        <v>472</v>
      </c>
      <c r="D47" s="119"/>
      <c r="E47" s="119"/>
      <c r="F47" s="119"/>
      <c r="G47" s="119"/>
      <c r="H47" s="119" t="s">
        <v>473</v>
      </c>
      <c r="I47" s="119" t="s">
        <v>472</v>
      </c>
      <c r="J47" s="119" t="s">
        <v>10</v>
      </c>
      <c r="K47" s="119" t="s">
        <v>13</v>
      </c>
      <c r="L47" s="134" t="s">
        <v>474</v>
      </c>
      <c r="M47" s="134" t="s">
        <v>74</v>
      </c>
      <c r="N47" s="134" t="s">
        <v>10</v>
      </c>
      <c r="O47" s="134" t="s">
        <v>13</v>
      </c>
      <c r="P47" s="119"/>
      <c r="Q47" s="119"/>
      <c r="R47" s="119"/>
      <c r="S47" s="131"/>
      <c r="T47" s="134"/>
      <c r="U47" s="134"/>
      <c r="V47" s="134"/>
      <c r="W47" s="134"/>
      <c r="X47" s="119" t="s">
        <v>475</v>
      </c>
      <c r="Y47" s="119" t="s">
        <v>74</v>
      </c>
      <c r="Z47" s="119" t="s">
        <v>10</v>
      </c>
      <c r="AA47" s="119" t="s">
        <v>19</v>
      </c>
      <c r="AB47" s="134"/>
      <c r="AC47" s="134"/>
      <c r="AD47" s="134"/>
      <c r="AE47" s="134"/>
    </row>
    <row collapsed="false" customFormat="false" customHeight="false" hidden="false" ht="15.7" outlineLevel="0" r="48">
      <c r="A48" s="119" t="s">
        <v>470</v>
      </c>
      <c r="B48" s="118" t="s">
        <v>471</v>
      </c>
      <c r="C48" s="119" t="s">
        <v>476</v>
      </c>
      <c r="D48" s="119"/>
      <c r="E48" s="119"/>
      <c r="F48" s="119"/>
      <c r="G48" s="119"/>
      <c r="H48" s="119" t="s">
        <v>473</v>
      </c>
      <c r="I48" s="119" t="s">
        <v>472</v>
      </c>
      <c r="J48" s="119" t="s">
        <v>13</v>
      </c>
      <c r="K48" s="119" t="s">
        <v>13</v>
      </c>
      <c r="L48" s="134" t="s">
        <v>474</v>
      </c>
      <c r="M48" s="134" t="s">
        <v>74</v>
      </c>
      <c r="N48" s="134" t="s">
        <v>13</v>
      </c>
      <c r="O48" s="134" t="s">
        <v>13</v>
      </c>
      <c r="P48" s="119"/>
      <c r="Q48" s="119"/>
      <c r="R48" s="119"/>
      <c r="S48" s="131"/>
      <c r="T48" s="134"/>
      <c r="U48" s="134"/>
      <c r="V48" s="134"/>
      <c r="W48" s="134"/>
      <c r="X48" s="119" t="s">
        <v>475</v>
      </c>
      <c r="Y48" s="119" t="s">
        <v>74</v>
      </c>
      <c r="Z48" s="119" t="s">
        <v>13</v>
      </c>
      <c r="AA48" s="119" t="s">
        <v>19</v>
      </c>
      <c r="AB48" s="134"/>
      <c r="AC48" s="134"/>
      <c r="AD48" s="134"/>
      <c r="AE48" s="134"/>
    </row>
    <row collapsed="false" customFormat="false" customHeight="false" hidden="false" ht="15.25" outlineLevel="0" r="49">
      <c r="A49" s="119" t="s">
        <v>477</v>
      </c>
      <c r="B49" s="132" t="s">
        <v>478</v>
      </c>
      <c r="C49" s="119" t="s">
        <v>479</v>
      </c>
      <c r="D49" s="119"/>
      <c r="E49" s="119"/>
      <c r="F49" s="119"/>
      <c r="G49" s="119"/>
      <c r="H49" s="119" t="s">
        <v>480</v>
      </c>
      <c r="I49" s="119" t="s">
        <v>479</v>
      </c>
      <c r="J49" s="119" t="s">
        <v>16</v>
      </c>
      <c r="K49" s="119" t="s">
        <v>13</v>
      </c>
      <c r="L49" s="134" t="s">
        <v>481</v>
      </c>
      <c r="M49" s="134"/>
      <c r="N49" s="134" t="s">
        <v>16</v>
      </c>
      <c r="O49" s="134" t="s">
        <v>13</v>
      </c>
      <c r="P49" s="119"/>
      <c r="Q49" s="119"/>
      <c r="R49" s="119"/>
      <c r="S49" s="131"/>
      <c r="T49" s="134"/>
      <c r="U49" s="134"/>
      <c r="V49" s="134"/>
      <c r="W49" s="134"/>
      <c r="X49" s="119" t="s">
        <v>395</v>
      </c>
      <c r="Y49" s="119"/>
      <c r="Z49" s="119" t="s">
        <v>16</v>
      </c>
      <c r="AA49" s="119" t="s">
        <v>19</v>
      </c>
      <c r="AB49" s="134"/>
      <c r="AC49" s="134"/>
      <c r="AD49" s="134"/>
      <c r="AE49" s="134"/>
    </row>
    <row collapsed="false" customFormat="false" customHeight="false" hidden="false" ht="15.25" outlineLevel="0" r="50">
      <c r="A50" s="119" t="s">
        <v>398</v>
      </c>
      <c r="B50" s="132" t="s">
        <v>399</v>
      </c>
      <c r="C50" s="119" t="s">
        <v>400</v>
      </c>
      <c r="D50" s="119"/>
      <c r="E50" s="119"/>
      <c r="F50" s="119"/>
      <c r="G50" s="119"/>
      <c r="H50" s="119" t="s">
        <v>395</v>
      </c>
      <c r="I50" s="119"/>
      <c r="J50" s="119" t="s">
        <v>74</v>
      </c>
      <c r="K50" s="119" t="s">
        <v>13</v>
      </c>
      <c r="L50" s="134" t="s">
        <v>395</v>
      </c>
      <c r="M50" s="134"/>
      <c r="N50" s="134" t="s">
        <v>74</v>
      </c>
      <c r="O50" s="134" t="s">
        <v>13</v>
      </c>
      <c r="P50" s="119"/>
      <c r="Q50" s="119"/>
      <c r="R50" s="119"/>
      <c r="S50" s="131"/>
      <c r="T50" s="134"/>
      <c r="U50" s="134"/>
      <c r="V50" s="134"/>
      <c r="W50" s="134"/>
      <c r="X50" s="119" t="s">
        <v>395</v>
      </c>
      <c r="Y50" s="119"/>
      <c r="Z50" s="119" t="s">
        <v>74</v>
      </c>
      <c r="AA50" s="119" t="s">
        <v>19</v>
      </c>
      <c r="AB50" s="134"/>
      <c r="AC50" s="134"/>
      <c r="AD50" s="134"/>
      <c r="AE50" s="134"/>
    </row>
    <row collapsed="false" customFormat="false" customHeight="false" hidden="false" ht="15.25" outlineLevel="0" r="51">
      <c r="A51" s="119" t="s">
        <v>482</v>
      </c>
      <c r="B51" s="132"/>
      <c r="C51" s="119" t="s">
        <v>483</v>
      </c>
      <c r="D51" s="119"/>
      <c r="E51" s="119"/>
      <c r="F51" s="119"/>
      <c r="G51" s="119"/>
      <c r="H51" s="119" t="s">
        <v>401</v>
      </c>
      <c r="I51" s="119"/>
      <c r="J51" s="119" t="s">
        <v>78</v>
      </c>
      <c r="K51" s="119" t="s">
        <v>13</v>
      </c>
      <c r="L51" s="134" t="s">
        <v>402</v>
      </c>
      <c r="M51" s="134"/>
      <c r="N51" s="134" t="s">
        <v>78</v>
      </c>
      <c r="O51" s="134" t="s">
        <v>13</v>
      </c>
      <c r="P51" s="119"/>
      <c r="Q51" s="119"/>
      <c r="R51" s="119"/>
      <c r="S51" s="131"/>
      <c r="T51" s="134"/>
      <c r="U51" s="134"/>
      <c r="V51" s="134"/>
      <c r="W51" s="134"/>
      <c r="X51" s="119" t="s">
        <v>475</v>
      </c>
      <c r="Y51" s="119"/>
      <c r="Z51" s="119" t="s">
        <v>78</v>
      </c>
      <c r="AA51" s="119" t="s">
        <v>19</v>
      </c>
      <c r="AB51" s="134"/>
      <c r="AC51" s="134"/>
      <c r="AD51" s="134"/>
      <c r="AE51" s="134"/>
    </row>
    <row collapsed="false" customFormat="false" customHeight="false" hidden="false" ht="15.25" outlineLevel="0" r="52">
      <c r="A52" s="119" t="s">
        <v>484</v>
      </c>
      <c r="B52" s="132" t="s">
        <v>485</v>
      </c>
      <c r="C52" s="119" t="s">
        <v>486</v>
      </c>
      <c r="D52" s="119"/>
      <c r="E52" s="119"/>
      <c r="F52" s="119"/>
      <c r="G52" s="119"/>
      <c r="H52" s="119" t="s">
        <v>487</v>
      </c>
      <c r="I52" s="119"/>
      <c r="J52" s="119" t="s">
        <v>100</v>
      </c>
      <c r="K52" s="119" t="s">
        <v>13</v>
      </c>
      <c r="L52" s="134" t="s">
        <v>488</v>
      </c>
      <c r="M52" s="134"/>
      <c r="N52" s="134" t="s">
        <v>100</v>
      </c>
      <c r="O52" s="134" t="s">
        <v>13</v>
      </c>
      <c r="P52" s="119"/>
      <c r="Q52" s="119"/>
      <c r="R52" s="119"/>
      <c r="S52" s="131"/>
      <c r="T52" s="134"/>
      <c r="U52" s="134"/>
      <c r="V52" s="134"/>
      <c r="W52" s="134"/>
      <c r="X52" s="119" t="s">
        <v>395</v>
      </c>
      <c r="Y52" s="119"/>
      <c r="Z52" s="119" t="s">
        <v>100</v>
      </c>
      <c r="AA52" s="119" t="s">
        <v>19</v>
      </c>
      <c r="AB52" s="134"/>
      <c r="AC52" s="134"/>
      <c r="AD52" s="134"/>
      <c r="AE52" s="134"/>
    </row>
    <row collapsed="false" customFormat="false" customHeight="false" hidden="false" ht="15.25" outlineLevel="0" r="53">
      <c r="A53" s="119" t="s">
        <v>489</v>
      </c>
      <c r="B53" s="119"/>
      <c r="C53" s="119" t="s">
        <v>476</v>
      </c>
      <c r="D53" s="119"/>
      <c r="E53" s="119"/>
      <c r="F53" s="119"/>
      <c r="G53" s="119"/>
      <c r="H53" s="119" t="s">
        <v>490</v>
      </c>
      <c r="I53" s="119"/>
      <c r="J53" s="119" t="s">
        <v>74</v>
      </c>
      <c r="K53" s="119" t="s">
        <v>13</v>
      </c>
      <c r="L53" s="134" t="s">
        <v>394</v>
      </c>
      <c r="M53" s="134"/>
      <c r="N53" s="134" t="s">
        <v>74</v>
      </c>
      <c r="O53" s="134" t="s">
        <v>13</v>
      </c>
      <c r="P53" s="119"/>
      <c r="Q53" s="119"/>
      <c r="R53" s="119"/>
      <c r="S53" s="131"/>
      <c r="T53" s="134"/>
      <c r="U53" s="134"/>
      <c r="V53" s="134"/>
      <c r="W53" s="134"/>
      <c r="X53" s="119" t="s">
        <v>395</v>
      </c>
      <c r="Y53" s="119"/>
      <c r="Z53" s="119" t="s">
        <v>74</v>
      </c>
      <c r="AA53" s="119" t="s">
        <v>19</v>
      </c>
      <c r="AB53" s="134"/>
      <c r="AC53" s="134"/>
      <c r="AD53" s="134"/>
      <c r="AE53" s="134"/>
    </row>
    <row collapsed="false" customFormat="false" customHeight="false" hidden="false" ht="15.25" outlineLevel="0" r="54">
      <c r="H54" s="119" t="s">
        <v>401</v>
      </c>
      <c r="I54" s="119"/>
      <c r="J54" s="119" t="s">
        <v>78</v>
      </c>
      <c r="K54" s="119" t="s">
        <v>13</v>
      </c>
      <c r="L54" s="134" t="s">
        <v>402</v>
      </c>
      <c r="M54" s="134"/>
      <c r="N54" s="134" t="s">
        <v>78</v>
      </c>
      <c r="O54" s="134" t="s">
        <v>13</v>
      </c>
      <c r="P54" s="124"/>
      <c r="Q54" s="124"/>
      <c r="R54" s="124"/>
      <c r="S54" s="131"/>
      <c r="T54" s="120"/>
      <c r="U54" s="120"/>
      <c r="V54" s="120"/>
      <c r="W54" s="120"/>
      <c r="X54" s="119" t="s">
        <v>395</v>
      </c>
      <c r="Y54" s="119"/>
      <c r="Z54" s="119" t="s">
        <v>78</v>
      </c>
      <c r="AA54" s="119" t="s">
        <v>19</v>
      </c>
      <c r="AB54" s="120"/>
      <c r="AC54" s="120"/>
      <c r="AD54" s="120"/>
      <c r="AE54" s="120"/>
    </row>
    <row collapsed="false" customFormat="false" customHeight="false" hidden="false" ht="15.25" outlineLevel="0" r="55">
      <c r="H55" s="119" t="s">
        <v>487</v>
      </c>
      <c r="I55" s="119"/>
      <c r="J55" s="119" t="s">
        <v>100</v>
      </c>
      <c r="K55" s="119" t="s">
        <v>13</v>
      </c>
      <c r="L55" s="134" t="s">
        <v>488</v>
      </c>
      <c r="M55" s="134"/>
      <c r="N55" s="134" t="s">
        <v>100</v>
      </c>
      <c r="O55" s="134" t="s">
        <v>13</v>
      </c>
      <c r="P55" s="124"/>
      <c r="Q55" s="124"/>
      <c r="R55" s="124"/>
      <c r="S55" s="131"/>
      <c r="T55" s="120"/>
      <c r="U55" s="120"/>
      <c r="V55" s="120"/>
      <c r="W55" s="120"/>
      <c r="X55" s="119" t="s">
        <v>395</v>
      </c>
      <c r="Y55" s="119"/>
      <c r="Z55" s="119" t="s">
        <v>100</v>
      </c>
      <c r="AA55" s="119" t="s">
        <v>19</v>
      </c>
      <c r="AB55" s="120"/>
      <c r="AC55" s="120"/>
      <c r="AD55" s="120"/>
      <c r="AE55" s="120"/>
    </row>
    <row collapsed="false" customFormat="false" customHeight="false" hidden="false" ht="15.25" outlineLevel="0" r="56">
      <c r="H56" s="119" t="s">
        <v>490</v>
      </c>
      <c r="I56" s="119"/>
      <c r="J56" s="119" t="s">
        <v>74</v>
      </c>
      <c r="K56" s="119" t="s">
        <v>13</v>
      </c>
      <c r="L56" s="134" t="s">
        <v>394</v>
      </c>
      <c r="M56" s="134"/>
      <c r="N56" s="134" t="s">
        <v>74</v>
      </c>
      <c r="O56" s="134" t="s">
        <v>13</v>
      </c>
      <c r="P56" s="124"/>
      <c r="Q56" s="124"/>
      <c r="R56" s="124"/>
      <c r="S56" s="131"/>
      <c r="T56" s="120"/>
      <c r="U56" s="120"/>
      <c r="V56" s="120"/>
      <c r="W56" s="120"/>
      <c r="X56" s="119" t="s">
        <v>395</v>
      </c>
      <c r="Y56" s="119"/>
      <c r="Z56" s="119" t="s">
        <v>74</v>
      </c>
      <c r="AA56" s="119" t="s">
        <v>19</v>
      </c>
      <c r="AB56" s="120"/>
      <c r="AC56" s="120"/>
      <c r="AD56" s="120"/>
      <c r="AE56" s="120"/>
    </row>
    <row collapsed="false" customFormat="false" customHeight="false" hidden="false" ht="15.25" outlineLevel="0" r="57">
      <c r="H57" s="119" t="s">
        <v>401</v>
      </c>
      <c r="I57" s="119"/>
      <c r="J57" s="119" t="s">
        <v>78</v>
      </c>
      <c r="K57" s="119" t="s">
        <v>13</v>
      </c>
      <c r="L57" s="134" t="s">
        <v>402</v>
      </c>
      <c r="M57" s="134"/>
      <c r="N57" s="134" t="s">
        <v>78</v>
      </c>
      <c r="O57" s="134" t="s">
        <v>13</v>
      </c>
      <c r="P57" s="124"/>
      <c r="Q57" s="124"/>
      <c r="R57" s="124"/>
      <c r="S57" s="131"/>
      <c r="T57" s="120"/>
      <c r="U57" s="120"/>
      <c r="V57" s="120"/>
      <c r="W57" s="120"/>
      <c r="X57" s="119" t="s">
        <v>395</v>
      </c>
      <c r="Y57" s="119"/>
      <c r="Z57" s="119" t="s">
        <v>78</v>
      </c>
      <c r="AA57" s="119" t="s">
        <v>19</v>
      </c>
      <c r="AB57" s="120"/>
      <c r="AC57" s="120"/>
      <c r="AD57" s="120"/>
      <c r="AE57" s="120"/>
    </row>
  </sheetData>
  <mergeCells count="20">
    <mergeCell ref="B2:C2"/>
    <mergeCell ref="D2:G2"/>
    <mergeCell ref="H2:K2"/>
    <mergeCell ref="L2:O2"/>
    <mergeCell ref="P2:S2"/>
    <mergeCell ref="T2:W2"/>
    <mergeCell ref="X2:AA2"/>
    <mergeCell ref="AB2:AE2"/>
    <mergeCell ref="AG2:AJ2"/>
    <mergeCell ref="B16:C16"/>
    <mergeCell ref="D16:G16"/>
    <mergeCell ref="B39:G39"/>
    <mergeCell ref="A45:C45"/>
    <mergeCell ref="D45:G45"/>
    <mergeCell ref="H45:K45"/>
    <mergeCell ref="L45:O45"/>
    <mergeCell ref="P45:S45"/>
    <mergeCell ref="T45:W45"/>
    <mergeCell ref="X45:AA45"/>
    <mergeCell ref="AB45:AE45"/>
  </mergeCell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sheetPr filterMode="false">
    <pageSetUpPr fitToPage="false"/>
  </sheetPr>
  <dimension ref="A1:AU7"/>
  <sheetViews>
    <sheetView colorId="64" defaultGridColor="true" rightToLeft="false" showFormulas="false" showGridLines="true" showOutlineSymbols="true" showRowColHeaders="true" showZeros="true" tabSelected="false" topLeftCell="A1" view="normal" windowProtection="false" workbookViewId="0" zoomScale="95" zoomScaleNormal="95" zoomScalePageLayoutView="100">
      <selection activeCell="A1" activeCellId="0" pane="topLeft" sqref="A1"/>
    </sheetView>
  </sheetViews>
  <sheetFormatPr defaultRowHeight="15.75"/>
  <cols>
    <col collapsed="false" hidden="false" max="1" min="1" style="20" width="8.25116279069768"/>
    <col collapsed="false" hidden="false" max="2" min="2" style="20" width="13.1255813953488"/>
    <col collapsed="false" hidden="false" max="3" min="3" style="20" width="10.3767441860465"/>
    <col collapsed="false" hidden="false" max="4" min="4" style="20" width="13.0046511627907"/>
    <col collapsed="false" hidden="false" max="5" min="5" style="20" width="16.8744186046512"/>
    <col collapsed="false" hidden="false" max="6" min="6" style="20" width="7.49767441860465"/>
    <col collapsed="false" hidden="false" max="7" min="7" style="20" width="8"/>
    <col collapsed="false" hidden="false" max="8" min="8" style="20" width="11.1255813953488"/>
    <col collapsed="false" hidden="false" max="10" min="9" style="20" width="8.12093023255814"/>
    <col collapsed="false" hidden="false" max="12" min="11" style="20" width="16.753488372093"/>
    <col collapsed="false" hidden="false" max="14" min="13" style="20" width="8.25116279069768"/>
    <col collapsed="false" hidden="false" max="15" min="15" style="20" width="17.3767441860465"/>
    <col collapsed="false" hidden="false" max="1025" min="16" style="20" width="8.25116279069768"/>
  </cols>
  <sheetData>
    <row collapsed="false" customFormat="false" customHeight="false" hidden="false" ht="31.5" outlineLevel="0" r="1">
      <c r="A1" s="16" t="s">
        <v>491</v>
      </c>
      <c r="B1" s="16"/>
      <c r="C1" s="16"/>
      <c r="D1" s="16"/>
      <c r="E1" s="16" t="s">
        <v>170</v>
      </c>
      <c r="F1" s="16"/>
      <c r="G1" s="16"/>
      <c r="H1" s="17"/>
      <c r="I1" s="17"/>
      <c r="J1" s="17"/>
      <c r="K1" s="17"/>
      <c r="L1" s="17"/>
      <c r="M1" s="18"/>
      <c r="N1" s="18"/>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row>
    <row collapsed="false" customFormat="false" customHeight="false" hidden="false" ht="31.5" outlineLevel="0" r="2">
      <c r="A2" s="16"/>
      <c r="B2" s="16"/>
      <c r="C2" s="16"/>
      <c r="D2" s="16"/>
      <c r="E2" s="16" t="s">
        <v>173</v>
      </c>
      <c r="F2" s="16" t="s">
        <v>2</v>
      </c>
      <c r="G2" s="16" t="s">
        <v>174</v>
      </c>
      <c r="H2" s="16" t="s">
        <v>175</v>
      </c>
      <c r="I2" s="17" t="s">
        <v>176</v>
      </c>
      <c r="J2" s="17" t="s">
        <v>177</v>
      </c>
      <c r="K2" s="17"/>
      <c r="L2" s="17"/>
      <c r="M2" s="18"/>
      <c r="N2" s="18"/>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row>
    <row collapsed="false" customFormat="false" customHeight="false" hidden="false" ht="31.5" outlineLevel="0" r="3">
      <c r="A3" s="16"/>
      <c r="B3" s="16"/>
      <c r="C3" s="16"/>
      <c r="D3" s="16"/>
      <c r="E3" s="16" t="s">
        <v>178</v>
      </c>
      <c r="F3" s="16" t="s">
        <v>2</v>
      </c>
      <c r="G3" s="16" t="s">
        <v>174</v>
      </c>
      <c r="H3" s="16" t="s">
        <v>175</v>
      </c>
      <c r="I3" s="17" t="s">
        <v>176</v>
      </c>
      <c r="J3" s="17"/>
      <c r="K3" s="17" t="s">
        <v>179</v>
      </c>
      <c r="L3" s="17"/>
      <c r="M3" s="18"/>
      <c r="N3" s="18"/>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row>
    <row collapsed="false" customFormat="false" customHeight="false" hidden="false" ht="31.5" outlineLevel="0" r="4">
      <c r="A4" s="16"/>
      <c r="B4" s="16"/>
      <c r="C4" s="16"/>
      <c r="D4" s="16"/>
      <c r="E4" s="16" t="s">
        <v>180</v>
      </c>
      <c r="F4" s="16" t="s">
        <v>2</v>
      </c>
      <c r="G4" s="16" t="s">
        <v>174</v>
      </c>
      <c r="H4" s="16"/>
      <c r="I4" s="17"/>
      <c r="J4" s="17"/>
      <c r="K4" s="17" t="s">
        <v>179</v>
      </c>
      <c r="L4" s="17"/>
      <c r="M4" s="18"/>
      <c r="N4" s="18"/>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row>
    <row collapsed="false" customFormat="false" customHeight="false" hidden="false" ht="48" outlineLevel="0" r="5">
      <c r="A5" s="16"/>
      <c r="B5" s="16"/>
      <c r="C5" s="16"/>
      <c r="D5" s="16"/>
      <c r="E5" s="16"/>
      <c r="F5" s="16"/>
      <c r="G5" s="16"/>
      <c r="H5" s="17"/>
      <c r="I5" s="17"/>
      <c r="J5" s="17"/>
      <c r="K5" s="17" t="str">
        <f aca="false">"-"&amp;2^15&amp;"&lt;VAL&lt;"&amp;2^16</f>
        <v>-32768&lt;VAL&lt;65536</v>
      </c>
      <c r="L5" s="17" t="str">
        <f aca="false">"-"&amp;2^15&amp;"&lt;VAL&lt;"&amp;2^16</f>
        <v>-32768&lt;VAL&lt;65536</v>
      </c>
      <c r="O5" s="18" t="s">
        <v>181</v>
      </c>
      <c r="P5" s="16" t="s">
        <v>182</v>
      </c>
      <c r="Q5" s="16" t="s">
        <v>183</v>
      </c>
      <c r="R5" s="16" t="s">
        <v>184</v>
      </c>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row>
    <row collapsed="false" customFormat="false" customHeight="false" hidden="false" ht="48" outlineLevel="0" r="6">
      <c r="A6" s="21" t="s">
        <v>185</v>
      </c>
      <c r="B6" s="22" t="s">
        <v>186</v>
      </c>
      <c r="C6" s="23" t="s">
        <v>187</v>
      </c>
      <c r="D6" s="26" t="s">
        <v>188</v>
      </c>
      <c r="E6" s="26" t="s">
        <v>189</v>
      </c>
      <c r="F6" s="26" t="s">
        <v>190</v>
      </c>
      <c r="G6" s="26" t="s">
        <v>185</v>
      </c>
      <c r="H6" s="58" t="s">
        <v>191</v>
      </c>
      <c r="I6" s="58" t="s">
        <v>192</v>
      </c>
      <c r="J6" s="58" t="s">
        <v>193</v>
      </c>
      <c r="K6" s="58" t="s">
        <v>194</v>
      </c>
      <c r="L6" s="58" t="s">
        <v>195</v>
      </c>
      <c r="M6" s="100" t="s">
        <v>196</v>
      </c>
      <c r="N6" s="100" t="s">
        <v>197</v>
      </c>
      <c r="O6" s="25" t="s">
        <v>198</v>
      </c>
      <c r="P6" s="26" t="s">
        <v>199</v>
      </c>
      <c r="Q6" s="27" t="s">
        <v>200</v>
      </c>
      <c r="R6" s="26" t="s">
        <v>201</v>
      </c>
      <c r="S6" s="34" t="s">
        <v>202</v>
      </c>
      <c r="T6" s="24" t="s">
        <v>203</v>
      </c>
      <c r="U6" s="24" t="s">
        <v>204</v>
      </c>
      <c r="V6" s="24" t="s">
        <v>205</v>
      </c>
      <c r="W6" s="24" t="s">
        <v>206</v>
      </c>
      <c r="X6" s="24" t="s">
        <v>207</v>
      </c>
      <c r="Y6" s="24" t="s">
        <v>208</v>
      </c>
      <c r="Z6" s="24" t="s">
        <v>209</v>
      </c>
      <c r="AA6" s="24" t="s">
        <v>210</v>
      </c>
      <c r="AB6" s="24" t="s">
        <v>211</v>
      </c>
      <c r="AC6" s="24" t="s">
        <v>212</v>
      </c>
      <c r="AD6" s="24" t="s">
        <v>213</v>
      </c>
      <c r="AE6" s="24" t="s">
        <v>214</v>
      </c>
      <c r="AF6" s="24" t="s">
        <v>215</v>
      </c>
      <c r="AG6" s="24" t="s">
        <v>216</v>
      </c>
      <c r="AH6" s="24" t="s">
        <v>217</v>
      </c>
      <c r="AI6" s="24" t="s">
        <v>218</v>
      </c>
      <c r="AJ6" s="24" t="s">
        <v>219</v>
      </c>
      <c r="AK6" s="24" t="s">
        <v>220</v>
      </c>
      <c r="AL6" s="24" t="s">
        <v>221</v>
      </c>
      <c r="AM6" s="24" t="s">
        <v>222</v>
      </c>
      <c r="AN6" s="24" t="s">
        <v>223</v>
      </c>
      <c r="AO6" s="24" t="s">
        <v>224</v>
      </c>
      <c r="AP6" s="24" t="s">
        <v>225</v>
      </c>
      <c r="AQ6" s="24" t="s">
        <v>226</v>
      </c>
      <c r="AR6" s="24" t="s">
        <v>227</v>
      </c>
      <c r="AS6" s="24" t="s">
        <v>228</v>
      </c>
      <c r="AT6" s="24" t="s">
        <v>229</v>
      </c>
      <c r="AU6" s="24" t="s">
        <v>230</v>
      </c>
    </row>
    <row collapsed="false" customFormat="false" customHeight="false" hidden="false" ht="32.25" outlineLevel="0" r="7">
      <c r="A7" s="30" t="str">
        <f aca="false">IF(AND(F7="B",IF(OR(G7="LD",G7="LDU",G7="ADD",G7="SUB",G7="AND",G7="OR",G7="XOR"),1,0)),CONCATENATE(G7,"#"),G7)</f>
        <v>NOP</v>
      </c>
      <c r="B7" s="24" t="s">
        <v>231</v>
      </c>
      <c r="C7" s="24" t="s">
        <v>232</v>
      </c>
      <c r="D7" s="24" t="str">
        <f aca="false">IF(F7="A",CONCATENATE(F7," ",G7," R",H7,",R",I7,",",J7),IF(F7="B",CONCATENATE(F7," ",G7," R",H7,",R",I7,",",K7),CONCATENATE(F7," ",G7," ",K7)))</f>
        <v>A NOP R0,R0,0</v>
      </c>
      <c r="E7" s="29"/>
      <c r="F7" s="30" t="s">
        <v>237</v>
      </c>
      <c r="G7" s="30" t="s">
        <v>68</v>
      </c>
      <c r="H7" s="31" t="n">
        <v>0</v>
      </c>
      <c r="I7" s="31" t="n">
        <v>0</v>
      </c>
      <c r="J7" s="31" t="n">
        <v>0</v>
      </c>
      <c r="K7" s="32" t="s">
        <v>231</v>
      </c>
      <c r="L7" s="32" t="s">
        <v>231</v>
      </c>
      <c r="M7" s="33" t="n">
        <v>0</v>
      </c>
      <c r="N7" s="24"/>
      <c r="O7" s="34" t="n">
        <v>0</v>
      </c>
      <c r="P7" s="34"/>
      <c r="Q7" s="24"/>
      <c r="R7" s="24"/>
    </row>
  </sheetData>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sheetPr filterMode="false">
    <pageSetUpPr fitToPage="true"/>
  </sheetPr>
  <dimension ref="1:68"/>
  <sheetViews>
    <sheetView colorId="64" defaultGridColor="true" rightToLeft="false" showFormulas="false" showGridLines="true" showOutlineSymbols="true" showRowColHeaders="true" showZeros="true" tabSelected="false" topLeftCell="A25" view="normal" windowProtection="false" workbookViewId="0" zoomScale="95" zoomScaleNormal="95" zoomScalePageLayoutView="100">
      <selection activeCell="I20" activeCellId="0" pane="topLeft" sqref="I20"/>
    </sheetView>
  </sheetViews>
  <sheetFormatPr defaultRowHeight="15.75"/>
  <cols>
    <col collapsed="false" hidden="false" max="1" min="1" style="19" width="11.7488372093023"/>
    <col collapsed="false" hidden="false" max="2" min="2" style="19" width="43.4976744186047"/>
    <col collapsed="false" hidden="false" max="3" min="3" style="135" width="8.62325581395349"/>
    <col collapsed="false" hidden="false" max="4" min="4" style="136" width="8.62325581395349"/>
    <col collapsed="false" hidden="false" max="5" min="5" style="135" width="8.62325581395349"/>
    <col collapsed="false" hidden="false" max="6" min="6" style="135" width="12.246511627907"/>
    <col collapsed="false" hidden="false" max="7" min="7" style="135" width="14.506976744186"/>
    <col collapsed="false" hidden="false" max="8" min="8" style="136" width="8.25116279069768"/>
    <col collapsed="false" hidden="false" max="9" min="9" style="137" width="21.6279069767442"/>
    <col collapsed="false" hidden="false" max="10" min="10" style="137" width="19.5023255813954"/>
    <col collapsed="false" hidden="false" max="11" min="11" style="135" width="14.506976744186"/>
    <col collapsed="false" hidden="false" max="12" min="12" style="137" width="18.5023255813954"/>
    <col collapsed="false" hidden="false" max="13" min="13" style="138" width="36"/>
    <col collapsed="false" hidden="false" max="14" min="14" style="19" width="4.74883720930233"/>
    <col collapsed="false" hidden="false" max="15" min="15" style="19" width="6.61860465116279"/>
    <col collapsed="false" hidden="false" max="16" min="16" style="19" width="5.50697674418605"/>
    <col collapsed="false" hidden="false" max="18" min="17" style="19" width="6.61860465116279"/>
    <col collapsed="false" hidden="false" max="19" min="19" style="19" width="4.74883720930233"/>
    <col collapsed="false" hidden="false" max="22" min="20" style="19" width="6.61860465116279"/>
    <col collapsed="false" hidden="false" max="23" min="23" style="19" width="4.74883720930233"/>
    <col collapsed="false" hidden="false" max="25" min="24" style="19" width="6.61860465116279"/>
    <col collapsed="false" hidden="false" max="26" min="26" style="19" width="14.1255813953488"/>
    <col collapsed="false" hidden="false" max="27" min="27" style="19" width="12.8744186046512"/>
    <col collapsed="false" hidden="false" max="28" min="28" style="19" width="5.74883720930233"/>
    <col collapsed="false" hidden="false" max="29" min="29" style="19" width="12.1255813953488"/>
    <col collapsed="false" hidden="false" max="30" min="30" style="19" width="8.25116279069768"/>
    <col collapsed="false" hidden="false" max="31" min="31" style="19" width="14.1255813953488"/>
    <col collapsed="false" hidden="false" max="32" min="32" style="19" width="38.8697674418605"/>
    <col collapsed="false" hidden="false" max="33" min="33" style="19" width="3.50232558139535"/>
    <col collapsed="false" hidden="false" max="34" min="34" style="19" width="6.13023255813954"/>
    <col collapsed="false" hidden="false" max="35" min="35" style="19" width="3.50232558139535"/>
    <col collapsed="false" hidden="false" max="36" min="36" style="19" width="6.13023255813954"/>
    <col collapsed="false" hidden="false" max="37" min="37" style="19" width="12.1255813953488"/>
    <col collapsed="false" hidden="false" max="38" min="38" style="19" width="10.7488372093023"/>
    <col collapsed="false" hidden="false" max="39" min="39" style="19" width="3.50232558139535"/>
    <col collapsed="false" hidden="false" max="40" min="40" style="19" width="6.13023255813954"/>
    <col collapsed="false" hidden="false" max="41" min="41" style="19" width="12.1255813953488"/>
    <col collapsed="false" hidden="false" max="42" min="42" style="19" width="10.5023255813953"/>
    <col collapsed="false" hidden="false" max="43" min="43" style="19" width="16"/>
    <col collapsed="false" hidden="false" max="44" min="44" style="19" width="12.1255813953488"/>
    <col collapsed="false" hidden="false" max="45" min="45" style="19" width="10.5023255813953"/>
    <col collapsed="false" hidden="false" max="46" min="46" style="19" width="15.753488372093"/>
    <col collapsed="false" hidden="false" max="47" min="47" style="19" width="3.50232558139535"/>
    <col collapsed="false" hidden="false" max="48" min="48" style="19" width="6.13023255813954"/>
    <col collapsed="false" hidden="false" max="49" min="49" style="19" width="12.1255813953488"/>
    <col collapsed="false" hidden="false" max="50" min="50" style="19" width="10.5023255813953"/>
    <col collapsed="false" hidden="false" max="51" min="51" style="19" width="15.753488372093"/>
    <col collapsed="false" hidden="false" max="52" min="52" style="19" width="3.50232558139535"/>
    <col collapsed="false" hidden="false" max="53" min="53" style="19" width="6.13023255813954"/>
    <col collapsed="false" hidden="false" max="54" min="54" style="19" width="12.1255813953488"/>
    <col collapsed="false" hidden="false" max="55" min="55" style="19" width="10.5023255813953"/>
    <col collapsed="false" hidden="false" max="56" min="56" style="19" width="15.753488372093"/>
    <col collapsed="false" hidden="false" max="57" min="57" style="19" width="3.50232558139535"/>
    <col collapsed="false" hidden="false" max="58" min="58" style="19" width="6.13023255813954"/>
    <col collapsed="false" hidden="false" max="1023" min="59" style="19" width="12.1255813953488"/>
    <col collapsed="false" hidden="false" max="1025" min="1024" style="133" width="12.1255813953488"/>
  </cols>
  <sheetData>
    <row collapsed="false" customFormat="false" customHeight="false" hidden="false" ht="48.75" outlineLevel="0" r="1">
      <c r="A1" s="16" t="s">
        <v>185</v>
      </c>
      <c r="B1" s="16" t="s">
        <v>186</v>
      </c>
      <c r="C1" s="17" t="s">
        <v>192</v>
      </c>
      <c r="D1" s="139" t="s">
        <v>492</v>
      </c>
      <c r="E1" s="17" t="s">
        <v>193</v>
      </c>
      <c r="F1" s="17" t="s">
        <v>493</v>
      </c>
      <c r="G1" s="17" t="s">
        <v>191</v>
      </c>
      <c r="H1" s="139" t="s">
        <v>494</v>
      </c>
      <c r="I1" s="140" t="s">
        <v>495</v>
      </c>
      <c r="J1" s="140" t="s">
        <v>496</v>
      </c>
      <c r="K1" s="17" t="s">
        <v>194</v>
      </c>
      <c r="L1" s="140" t="s">
        <v>497</v>
      </c>
      <c r="M1" s="18" t="s">
        <v>498</v>
      </c>
      <c r="N1" s="24" t="s">
        <v>198</v>
      </c>
      <c r="O1" s="24" t="s">
        <v>199</v>
      </c>
      <c r="P1" s="24" t="s">
        <v>200</v>
      </c>
      <c r="Q1" s="24" t="s">
        <v>201</v>
      </c>
      <c r="R1" s="24" t="s">
        <v>202</v>
      </c>
      <c r="S1" s="24" t="s">
        <v>203</v>
      </c>
      <c r="T1" s="24" t="s">
        <v>204</v>
      </c>
      <c r="U1" s="24" t="s">
        <v>205</v>
      </c>
      <c r="V1" s="24" t="s">
        <v>206</v>
      </c>
      <c r="W1" s="24" t="s">
        <v>207</v>
      </c>
      <c r="X1" s="24" t="s">
        <v>208</v>
      </c>
      <c r="Y1" s="24" t="s">
        <v>209</v>
      </c>
      <c r="Z1" s="24" t="s">
        <v>210</v>
      </c>
      <c r="AA1" s="24" t="s">
        <v>211</v>
      </c>
      <c r="AB1" s="24" t="s">
        <v>212</v>
      </c>
      <c r="AE1" s="5"/>
      <c r="AF1" s="5"/>
      <c r="AG1" s="5"/>
      <c r="AH1" s="5"/>
      <c r="AI1" s="7"/>
      <c r="AJ1" s="7"/>
      <c r="AK1" s="7"/>
      <c r="AL1" s="7"/>
      <c r="AM1" s="7"/>
    </row>
    <row collapsed="false" customFormat="false" customHeight="false" hidden="false" ht="17.25" outlineLevel="0" r="2">
      <c r="A2" s="24" t="s">
        <v>68</v>
      </c>
      <c r="B2" s="24" t="s">
        <v>499</v>
      </c>
      <c r="C2" s="84" t="n">
        <v>0</v>
      </c>
      <c r="D2" s="141" t="str">
        <f aca="false">DEC2BIN(C2,5)</f>
        <v>00000</v>
      </c>
      <c r="E2" s="84" t="n">
        <v>0</v>
      </c>
      <c r="F2" s="84" t="str">
        <f aca="false">DEC2BIN(E2,5)</f>
        <v>00000</v>
      </c>
      <c r="G2" s="135" t="n">
        <v>0</v>
      </c>
      <c r="H2" s="136" t="str">
        <f aca="false">DEC2BIN(G2,5)</f>
        <v>00000</v>
      </c>
      <c r="I2" s="6" t="s">
        <v>500</v>
      </c>
      <c r="J2" s="7" t="str">
        <f aca="false">SUBSTITUTE(I2,"_","")</f>
        <v>00000000000111111</v>
      </c>
      <c r="K2" s="142" t="s">
        <v>231</v>
      </c>
      <c r="L2" s="143" t="s">
        <v>231</v>
      </c>
      <c r="M2" s="144" t="str">
        <f aca="false">D2&amp;F2&amp;H2&amp;J2</f>
        <v>00000000000000000000000000111111</v>
      </c>
      <c r="N2" s="145" t="n">
        <v>0</v>
      </c>
      <c r="AE2" s="5"/>
      <c r="AF2" s="5"/>
      <c r="AG2" s="5"/>
      <c r="AH2" s="5"/>
      <c r="AI2" s="7"/>
      <c r="AJ2" s="7"/>
      <c r="AK2" s="7"/>
      <c r="AL2" s="7"/>
      <c r="AM2" s="7"/>
    </row>
    <row collapsed="false" customFormat="false" customHeight="false" hidden="false" ht="17.25" outlineLevel="0" r="3">
      <c r="A3" s="43" t="s">
        <v>501</v>
      </c>
      <c r="B3" s="24" t="s">
        <v>502</v>
      </c>
      <c r="C3" s="84" t="n">
        <v>0</v>
      </c>
      <c r="D3" s="141" t="str">
        <f aca="false">DEC2BIN(C3,5)</f>
        <v>00000</v>
      </c>
      <c r="E3" s="135" t="s">
        <v>231</v>
      </c>
      <c r="F3" s="84" t="s">
        <v>231</v>
      </c>
      <c r="G3" s="135" t="n">
        <v>0</v>
      </c>
      <c r="H3" s="136" t="str">
        <f aca="false">DEC2BIN(G3,5)</f>
        <v>00000</v>
      </c>
      <c r="I3" s="6" t="n">
        <v>100010</v>
      </c>
      <c r="J3" s="7" t="str">
        <f aca="false">SUBSTITUTE(I3,"_","")</f>
        <v>100010</v>
      </c>
      <c r="K3" s="142" t="n">
        <f aca="false">A40</f>
        <v>0</v>
      </c>
      <c r="L3" s="143" t="str">
        <f aca="false">SUBSTITUTE(B40,"_","")</f>
        <v>0000000000000000</v>
      </c>
      <c r="M3" s="144" t="str">
        <f aca="false">D3&amp;H3&amp;L3&amp;J3</f>
        <v>00000000000000000000000000100010</v>
      </c>
      <c r="N3" s="145" t="n">
        <v>0</v>
      </c>
      <c r="AC3" s="133"/>
      <c r="AD3" s="133"/>
      <c r="AE3" s="146"/>
      <c r="AF3" s="146"/>
      <c r="AG3" s="146" t="s">
        <v>503</v>
      </c>
      <c r="AH3" s="146"/>
      <c r="AI3" s="147" t="s">
        <v>504</v>
      </c>
      <c r="AJ3" s="147"/>
      <c r="AK3" s="133"/>
      <c r="AL3" s="148" t="s">
        <v>505</v>
      </c>
      <c r="AM3" s="148"/>
      <c r="AN3" s="148"/>
      <c r="AP3" s="149" t="s">
        <v>506</v>
      </c>
      <c r="AQ3" s="149" t="s">
        <v>507</v>
      </c>
      <c r="AR3" s="149"/>
      <c r="AS3" s="149" t="s">
        <v>508</v>
      </c>
      <c r="AT3" s="149" t="s">
        <v>509</v>
      </c>
      <c r="AU3" s="149" t="s">
        <v>196</v>
      </c>
      <c r="AV3" s="149" t="s">
        <v>388</v>
      </c>
      <c r="AX3" s="149" t="s">
        <v>510</v>
      </c>
      <c r="AY3" s="149" t="s">
        <v>511</v>
      </c>
      <c r="AZ3" s="149"/>
      <c r="BA3" s="149"/>
      <c r="BC3" s="149" t="s">
        <v>512</v>
      </c>
      <c r="BD3" s="149" t="s">
        <v>513</v>
      </c>
      <c r="BE3" s="149"/>
      <c r="BF3" s="149"/>
    </row>
    <row collapsed="false" customFormat="false" customHeight="false" hidden="false" ht="48.75" outlineLevel="0" r="4">
      <c r="A4" s="24" t="s">
        <v>514</v>
      </c>
      <c r="B4" s="24" t="s">
        <v>515</v>
      </c>
      <c r="C4" s="84" t="n">
        <v>0</v>
      </c>
      <c r="D4" s="141" t="str">
        <f aca="false">DEC2BIN(C4,5)</f>
        <v>00000</v>
      </c>
      <c r="E4" s="135" t="s">
        <v>231</v>
      </c>
      <c r="F4" s="84" t="s">
        <v>231</v>
      </c>
      <c r="G4" s="135" t="n">
        <v>1</v>
      </c>
      <c r="H4" s="136" t="str">
        <f aca="false">DEC2BIN(G4,5)</f>
        <v>00001</v>
      </c>
      <c r="I4" s="6" t="n">
        <v>100011</v>
      </c>
      <c r="J4" s="7" t="str">
        <f aca="false">SUBSTITUTE(I4,"_","")</f>
        <v>100011</v>
      </c>
      <c r="K4" s="135" t="n">
        <f aca="false">A41</f>
        <v>32768</v>
      </c>
      <c r="L4" s="143" t="str">
        <f aca="false">SUBSTITUTE(B41,"_","")</f>
        <v>1000000000000000</v>
      </c>
      <c r="M4" s="144" t="str">
        <f aca="false">D4&amp;H4&amp;L4&amp;J4</f>
        <v>00000000011000000000000000100011</v>
      </c>
      <c r="N4" s="19" t="n">
        <v>0</v>
      </c>
      <c r="O4" s="145" t="n">
        <f aca="false">A41</f>
        <v>32768</v>
      </c>
      <c r="AC4" s="133"/>
      <c r="AD4" s="24" t="s">
        <v>185</v>
      </c>
      <c r="AE4" s="150" t="s">
        <v>516</v>
      </c>
      <c r="AF4" s="151" t="s">
        <v>517</v>
      </c>
      <c r="AG4" s="152" t="s">
        <v>196</v>
      </c>
      <c r="AH4" s="153" t="s">
        <v>388</v>
      </c>
      <c r="AI4" s="147" t="s">
        <v>196</v>
      </c>
      <c r="AJ4" s="147" t="s">
        <v>388</v>
      </c>
      <c r="AK4" s="133"/>
      <c r="AL4" s="148" t="s">
        <v>389</v>
      </c>
      <c r="AM4" s="148" t="s">
        <v>196</v>
      </c>
      <c r="AN4" s="148" t="s">
        <v>388</v>
      </c>
      <c r="AP4" s="149" t="s">
        <v>389</v>
      </c>
      <c r="AQ4" s="149"/>
      <c r="AR4" s="149"/>
      <c r="AS4" s="149" t="s">
        <v>389</v>
      </c>
      <c r="AT4" s="149"/>
      <c r="AU4" s="149"/>
      <c r="AV4" s="149"/>
      <c r="AX4" s="149" t="s">
        <v>389</v>
      </c>
      <c r="AY4" s="149"/>
      <c r="AZ4" s="149" t="s">
        <v>196</v>
      </c>
      <c r="BA4" s="149" t="s">
        <v>388</v>
      </c>
      <c r="BC4" s="149" t="s">
        <v>389</v>
      </c>
      <c r="BD4" s="149"/>
      <c r="BE4" s="149" t="s">
        <v>196</v>
      </c>
      <c r="BF4" s="149" t="s">
        <v>388</v>
      </c>
    </row>
    <row collapsed="false" customFormat="false" customHeight="false" hidden="false" ht="33" outlineLevel="0" r="5">
      <c r="A5" s="24" t="s">
        <v>501</v>
      </c>
      <c r="B5" s="24" t="s">
        <v>518</v>
      </c>
      <c r="C5" s="84" t="n">
        <v>0</v>
      </c>
      <c r="D5" s="141" t="str">
        <f aca="false">DEC2BIN(C5,5)</f>
        <v>00000</v>
      </c>
      <c r="E5" s="135" t="s">
        <v>231</v>
      </c>
      <c r="F5" s="84" t="s">
        <v>231</v>
      </c>
      <c r="G5" s="135" t="n">
        <v>2</v>
      </c>
      <c r="H5" s="136" t="str">
        <f aca="false">DEC2BIN(G5,5)</f>
        <v>00010</v>
      </c>
      <c r="I5" s="6" t="n">
        <v>100010</v>
      </c>
      <c r="J5" s="7" t="str">
        <f aca="false">SUBSTITUTE(I5,"_","")</f>
        <v>100010</v>
      </c>
      <c r="K5" s="135" t="n">
        <f aca="false">A42</f>
        <v>-256</v>
      </c>
      <c r="L5" s="143" t="str">
        <f aca="false">SUBSTITUTE(B42,"_","")</f>
        <v>1111111100000000</v>
      </c>
      <c r="M5" s="144" t="str">
        <f aca="false">D5&amp;H5&amp;L5&amp;J5</f>
        <v>00000000101111111100000000100010</v>
      </c>
      <c r="N5" s="19" t="n">
        <v>0</v>
      </c>
      <c r="O5" s="19" t="n">
        <f aca="false">O4</f>
        <v>32768</v>
      </c>
      <c r="P5" s="145" t="n">
        <f aca="false">A42</f>
        <v>-256</v>
      </c>
      <c r="AC5" s="133"/>
      <c r="AD5" s="24" t="s">
        <v>68</v>
      </c>
      <c r="AE5" s="154" t="s">
        <v>519</v>
      </c>
      <c r="AF5" s="155" t="s">
        <v>520</v>
      </c>
      <c r="AG5" s="148" t="s">
        <v>231</v>
      </c>
      <c r="AH5" s="148" t="s">
        <v>231</v>
      </c>
      <c r="AI5" s="147" t="s">
        <v>231</v>
      </c>
      <c r="AJ5" s="147" t="s">
        <v>231</v>
      </c>
      <c r="AK5" s="133"/>
      <c r="AL5" s="148" t="s">
        <v>231</v>
      </c>
      <c r="AM5" s="148" t="s">
        <v>231</v>
      </c>
      <c r="AN5" s="148" t="s">
        <v>231</v>
      </c>
      <c r="AP5" s="149" t="s">
        <v>231</v>
      </c>
      <c r="AQ5" s="149" t="s">
        <v>231</v>
      </c>
      <c r="AR5" s="149"/>
      <c r="AS5" s="149" t="s">
        <v>231</v>
      </c>
      <c r="AT5" s="149" t="s">
        <v>231</v>
      </c>
      <c r="AU5" s="149" t="s">
        <v>231</v>
      </c>
      <c r="AV5" s="149" t="s">
        <v>231</v>
      </c>
      <c r="AX5" s="149" t="s">
        <v>231</v>
      </c>
      <c r="AY5" s="149" t="s">
        <v>231</v>
      </c>
      <c r="AZ5" s="149" t="s">
        <v>231</v>
      </c>
      <c r="BA5" s="149" t="s">
        <v>231</v>
      </c>
      <c r="BC5" s="149" t="s">
        <v>231</v>
      </c>
      <c r="BD5" s="149" t="s">
        <v>231</v>
      </c>
      <c r="BE5" s="149" t="s">
        <v>231</v>
      </c>
      <c r="BF5" s="149" t="s">
        <v>231</v>
      </c>
    </row>
    <row collapsed="false" customFormat="false" customHeight="false" hidden="false" ht="33" outlineLevel="0" r="6">
      <c r="A6" s="24" t="s">
        <v>23</v>
      </c>
      <c r="B6" s="24" t="s">
        <v>521</v>
      </c>
      <c r="C6" s="84" t="n">
        <v>2</v>
      </c>
      <c r="D6" s="141" t="str">
        <f aca="false">DEC2BIN(C6,5)</f>
        <v>00010</v>
      </c>
      <c r="E6" s="135" t="n">
        <v>0</v>
      </c>
      <c r="F6" s="84" t="str">
        <f aca="false">DEC2BIN(E6,5)</f>
        <v>00000</v>
      </c>
      <c r="G6" s="135" t="n">
        <v>2</v>
      </c>
      <c r="H6" s="136" t="str">
        <f aca="false">DEC2BIN(G6,5)</f>
        <v>00010</v>
      </c>
      <c r="I6" s="6" t="s">
        <v>21</v>
      </c>
      <c r="J6" s="7" t="str">
        <f aca="false">SUBSTITUTE(I6,"_","")</f>
        <v>00000001010000000</v>
      </c>
      <c r="K6" s="135" t="s">
        <v>231</v>
      </c>
      <c r="L6" s="137" t="s">
        <v>231</v>
      </c>
      <c r="M6" s="144" t="str">
        <f aca="false">D6&amp;F6&amp;H6&amp;J6</f>
        <v>00010000000001000000001010000000</v>
      </c>
      <c r="N6" s="19" t="n">
        <v>0</v>
      </c>
      <c r="O6" s="19" t="n">
        <f aca="false">O5</f>
        <v>32768</v>
      </c>
      <c r="P6" s="145" t="n">
        <f aca="false">A43</f>
        <v>256</v>
      </c>
      <c r="AC6" s="133"/>
      <c r="AD6" s="24" t="s">
        <v>501</v>
      </c>
      <c r="AE6" s="154" t="n">
        <v>22</v>
      </c>
      <c r="AF6" s="156" t="s">
        <v>522</v>
      </c>
      <c r="AG6" s="148" t="n">
        <v>2</v>
      </c>
      <c r="AH6" s="148" t="n">
        <v>1</v>
      </c>
      <c r="AI6" s="147" t="n">
        <v>2</v>
      </c>
      <c r="AJ6" s="147" t="n">
        <v>2</v>
      </c>
      <c r="AK6" s="133"/>
      <c r="AL6" s="148" t="s">
        <v>395</v>
      </c>
      <c r="AM6" s="148" t="n">
        <v>2</v>
      </c>
      <c r="AN6" s="148" t="n">
        <v>2</v>
      </c>
      <c r="AP6" s="149"/>
      <c r="AQ6" s="149"/>
      <c r="AR6" s="149"/>
      <c r="AS6" s="149"/>
      <c r="AT6" s="149"/>
      <c r="AU6" s="149" t="n">
        <v>1</v>
      </c>
      <c r="AV6" s="149" t="n">
        <v>3</v>
      </c>
      <c r="AX6" s="149" t="s">
        <v>394</v>
      </c>
      <c r="AY6" s="149" t="s">
        <v>395</v>
      </c>
      <c r="AZ6" s="149" t="n">
        <v>1</v>
      </c>
      <c r="BA6" s="149" t="n">
        <v>4</v>
      </c>
      <c r="BC6" s="149" t="s">
        <v>394</v>
      </c>
      <c r="BD6" s="149" t="s">
        <v>395</v>
      </c>
      <c r="BE6" s="149" t="n">
        <v>1</v>
      </c>
      <c r="BF6" s="149" t="n">
        <v>5</v>
      </c>
    </row>
    <row collapsed="false" customFormat="false" customHeight="false" hidden="false" ht="48.75" outlineLevel="0" r="7">
      <c r="A7" s="24" t="s">
        <v>11</v>
      </c>
      <c r="B7" s="24" t="s">
        <v>523</v>
      </c>
      <c r="C7" s="84" t="n">
        <v>1</v>
      </c>
      <c r="D7" s="141" t="str">
        <f aca="false">DEC2BIN(C7,5)</f>
        <v>00001</v>
      </c>
      <c r="E7" s="135" t="n">
        <v>2</v>
      </c>
      <c r="F7" s="84" t="str">
        <f aca="false">DEC2BIN(E7,5)</f>
        <v>00010</v>
      </c>
      <c r="G7" s="135" t="n">
        <v>3</v>
      </c>
      <c r="H7" s="136" t="str">
        <f aca="false">DEC2BIN(G7,5)</f>
        <v>00011</v>
      </c>
      <c r="I7" s="6" t="s">
        <v>9</v>
      </c>
      <c r="J7" s="7" t="str">
        <f aca="false">SUBSTITUTE(I7,"_","")</f>
        <v>00000000001000000</v>
      </c>
      <c r="K7" s="135" t="s">
        <v>231</v>
      </c>
      <c r="L7" s="137" t="s">
        <v>231</v>
      </c>
      <c r="M7" s="144" t="str">
        <f aca="false">D7&amp;F7&amp;H7&amp;J7</f>
        <v>00001000100001100000000001000000</v>
      </c>
      <c r="N7" s="19" t="n">
        <v>0</v>
      </c>
      <c r="O7" s="19" t="n">
        <f aca="false">O6</f>
        <v>32768</v>
      </c>
      <c r="P7" s="19" t="n">
        <f aca="false">P6</f>
        <v>256</v>
      </c>
      <c r="Q7" s="145" t="n">
        <f aca="false">O7+P7</f>
        <v>33024</v>
      </c>
      <c r="AC7" s="133"/>
      <c r="AD7" s="24" t="s">
        <v>514</v>
      </c>
      <c r="AE7" s="154" t="n">
        <v>600023</v>
      </c>
      <c r="AF7" s="156" t="s">
        <v>524</v>
      </c>
      <c r="AG7" s="148" t="n">
        <v>3</v>
      </c>
      <c r="AH7" s="148" t="n">
        <v>1</v>
      </c>
      <c r="AI7" s="147" t="n">
        <v>3</v>
      </c>
      <c r="AJ7" s="147" t="n">
        <v>2</v>
      </c>
      <c r="AK7" s="133"/>
      <c r="AL7" s="148" t="s">
        <v>525</v>
      </c>
      <c r="AM7" s="148" t="n">
        <v>3</v>
      </c>
      <c r="AN7" s="148" t="n">
        <v>2</v>
      </c>
      <c r="AP7" s="149" t="s">
        <v>394</v>
      </c>
      <c r="AQ7" s="149" t="s">
        <v>231</v>
      </c>
      <c r="AR7" s="149"/>
      <c r="AS7" s="149" t="s">
        <v>394</v>
      </c>
      <c r="AT7" s="157" t="s">
        <v>231</v>
      </c>
      <c r="AU7" s="149" t="n">
        <v>2</v>
      </c>
      <c r="AV7" s="149" t="n">
        <v>3</v>
      </c>
      <c r="AX7" s="149" t="s">
        <v>395</v>
      </c>
      <c r="AY7" s="149" t="s">
        <v>395</v>
      </c>
      <c r="AZ7" s="149" t="n">
        <v>2</v>
      </c>
      <c r="BA7" s="149" t="n">
        <v>4</v>
      </c>
      <c r="BC7" s="149" t="s">
        <v>395</v>
      </c>
      <c r="BD7" s="149" t="s">
        <v>395</v>
      </c>
      <c r="BE7" s="149" t="n">
        <v>2</v>
      </c>
      <c r="BF7" s="149" t="n">
        <v>5</v>
      </c>
    </row>
    <row collapsed="false" customFormat="false" customHeight="false" hidden="false" ht="48.75" outlineLevel="0" r="8">
      <c r="A8" s="24" t="s">
        <v>14</v>
      </c>
      <c r="B8" s="24" t="s">
        <v>526</v>
      </c>
      <c r="C8" s="84" t="n">
        <v>3</v>
      </c>
      <c r="D8" s="141" t="str">
        <f aca="false">DEC2BIN(C8,5)</f>
        <v>00011</v>
      </c>
      <c r="E8" s="135" t="n">
        <v>2</v>
      </c>
      <c r="F8" s="84" t="str">
        <f aca="false">DEC2BIN(E8,5)</f>
        <v>00010</v>
      </c>
      <c r="G8" s="135" t="n">
        <v>4</v>
      </c>
      <c r="H8" s="136" t="str">
        <f aca="false">DEC2BIN(G8,5)</f>
        <v>00100</v>
      </c>
      <c r="I8" s="6" t="s">
        <v>12</v>
      </c>
      <c r="J8" s="7" t="str">
        <f aca="false">SUBSTITUTE(I8,"_","")</f>
        <v>00000000100000000</v>
      </c>
      <c r="K8" s="135" t="s">
        <v>231</v>
      </c>
      <c r="L8" s="137" t="s">
        <v>231</v>
      </c>
      <c r="M8" s="144" t="str">
        <f aca="false">D8&amp;F8&amp;H8&amp;J8</f>
        <v>00011000100010000000000100000000</v>
      </c>
      <c r="N8" s="19" t="n">
        <v>0</v>
      </c>
      <c r="O8" s="19" t="n">
        <f aca="false">O7</f>
        <v>32768</v>
      </c>
      <c r="P8" s="19" t="n">
        <f aca="false">P7</f>
        <v>256</v>
      </c>
      <c r="Q8" s="19" t="n">
        <f aca="false">O8+P8</f>
        <v>33024</v>
      </c>
      <c r="R8" s="145" t="n">
        <f aca="false">Q8-P8</f>
        <v>32768</v>
      </c>
      <c r="AC8" s="133"/>
      <c r="AD8" s="24" t="s">
        <v>501</v>
      </c>
      <c r="AE8" s="154" t="s">
        <v>527</v>
      </c>
      <c r="AF8" s="156" t="s">
        <v>528</v>
      </c>
      <c r="AG8" s="148" t="n">
        <v>4</v>
      </c>
      <c r="AH8" s="148" t="n">
        <v>1</v>
      </c>
      <c r="AI8" s="147" t="n">
        <v>4</v>
      </c>
      <c r="AJ8" s="147" t="n">
        <v>2</v>
      </c>
      <c r="AK8" s="133"/>
      <c r="AL8" s="148" t="s">
        <v>529</v>
      </c>
      <c r="AM8" s="148" t="n">
        <v>4</v>
      </c>
      <c r="AN8" s="148" t="n">
        <v>2</v>
      </c>
      <c r="AP8" s="149" t="s">
        <v>395</v>
      </c>
      <c r="AQ8" s="149" t="s">
        <v>231</v>
      </c>
      <c r="AR8" s="149"/>
      <c r="AS8" s="149" t="s">
        <v>395</v>
      </c>
      <c r="AT8" s="157" t="s">
        <v>231</v>
      </c>
      <c r="AU8" s="149" t="n">
        <v>3</v>
      </c>
      <c r="AV8" s="149" t="n">
        <v>3</v>
      </c>
      <c r="AX8" s="149" t="s">
        <v>525</v>
      </c>
      <c r="AY8" s="149" t="s">
        <v>525</v>
      </c>
      <c r="AZ8" s="149" t="n">
        <v>3</v>
      </c>
      <c r="BA8" s="149" t="n">
        <v>4</v>
      </c>
      <c r="BC8" s="149" t="s">
        <v>525</v>
      </c>
      <c r="BD8" s="149" t="s">
        <v>525</v>
      </c>
      <c r="BE8" s="149" t="n">
        <v>3</v>
      </c>
      <c r="BF8" s="149" t="n">
        <v>5</v>
      </c>
    </row>
    <row collapsed="false" customFormat="false" customHeight="false" hidden="false" ht="48.75" outlineLevel="0" r="9">
      <c r="A9" s="24" t="s">
        <v>17</v>
      </c>
      <c r="B9" s="24" t="s">
        <v>530</v>
      </c>
      <c r="C9" s="84" t="n">
        <v>1</v>
      </c>
      <c r="D9" s="141" t="str">
        <f aca="false">DEC2BIN(C9,5)</f>
        <v>00001</v>
      </c>
      <c r="E9" s="135" t="n">
        <v>2</v>
      </c>
      <c r="F9" s="84" t="str">
        <f aca="false">DEC2BIN(E9,5)</f>
        <v>00010</v>
      </c>
      <c r="G9" s="135" t="n">
        <v>5</v>
      </c>
      <c r="H9" s="136" t="str">
        <f aca="false">DEC2BIN(G9,5)</f>
        <v>00101</v>
      </c>
      <c r="I9" s="6" t="s">
        <v>15</v>
      </c>
      <c r="J9" s="7" t="str">
        <f aca="false">SUBSTITUTE(I9,"_","")</f>
        <v>00000001000000000</v>
      </c>
      <c r="K9" s="135" t="s">
        <v>231</v>
      </c>
      <c r="L9" s="137" t="s">
        <v>231</v>
      </c>
      <c r="M9" s="144" t="str">
        <f aca="false">D9&amp;F9&amp;H9&amp;J9</f>
        <v>00001000100010100000001000000000</v>
      </c>
      <c r="N9" s="19" t="n">
        <v>0</v>
      </c>
      <c r="O9" s="19" t="n">
        <f aca="false">O8</f>
        <v>32768</v>
      </c>
      <c r="P9" s="19" t="n">
        <f aca="false">P8</f>
        <v>256</v>
      </c>
      <c r="Q9" s="19" t="n">
        <f aca="false">O9+P9</f>
        <v>33024</v>
      </c>
      <c r="R9" s="19" t="n">
        <f aca="false">Q9-P9</f>
        <v>32768</v>
      </c>
      <c r="S9" s="158" t="n">
        <v>0</v>
      </c>
      <c r="AC9" s="133"/>
      <c r="AD9" s="24" t="s">
        <v>23</v>
      </c>
      <c r="AE9" s="154" t="n">
        <v>10040280</v>
      </c>
      <c r="AF9" s="156" t="s">
        <v>531</v>
      </c>
      <c r="AG9" s="148" t="n">
        <v>5</v>
      </c>
      <c r="AH9" s="148" t="n">
        <v>1</v>
      </c>
      <c r="AI9" s="147" t="n">
        <v>5</v>
      </c>
      <c r="AJ9" s="147" t="n">
        <v>2</v>
      </c>
      <c r="AK9" s="133"/>
      <c r="AL9" s="159" t="s">
        <v>532</v>
      </c>
      <c r="AM9" s="148" t="n">
        <v>5</v>
      </c>
      <c r="AN9" s="148" t="n">
        <v>2</v>
      </c>
      <c r="AP9" s="149" t="s">
        <v>395</v>
      </c>
      <c r="AQ9" s="149" t="s">
        <v>231</v>
      </c>
      <c r="AR9" s="149"/>
      <c r="AS9" s="149" t="s">
        <v>395</v>
      </c>
      <c r="AT9" s="157" t="s">
        <v>231</v>
      </c>
      <c r="AU9" s="149" t="n">
        <v>4</v>
      </c>
      <c r="AV9" s="149" t="n">
        <v>3</v>
      </c>
      <c r="AX9" s="149" t="s">
        <v>529</v>
      </c>
      <c r="AY9" s="149" t="s">
        <v>529</v>
      </c>
      <c r="AZ9" s="149" t="n">
        <v>4</v>
      </c>
      <c r="BA9" s="149" t="n">
        <v>4</v>
      </c>
      <c r="BC9" s="149" t="s">
        <v>529</v>
      </c>
      <c r="BD9" s="149" t="s">
        <v>529</v>
      </c>
      <c r="BE9" s="149" t="n">
        <v>4</v>
      </c>
      <c r="BF9" s="149" t="n">
        <v>5</v>
      </c>
    </row>
    <row collapsed="false" customFormat="false" customHeight="false" hidden="false" ht="48.75" outlineLevel="0" r="10">
      <c r="A10" s="24" t="s">
        <v>20</v>
      </c>
      <c r="B10" s="24" t="s">
        <v>533</v>
      </c>
      <c r="C10" s="84" t="n">
        <v>1</v>
      </c>
      <c r="D10" s="141" t="str">
        <f aca="false">DEC2BIN(C10,5)</f>
        <v>00001</v>
      </c>
      <c r="E10" s="135" t="n">
        <v>2</v>
      </c>
      <c r="F10" s="84" t="str">
        <f aca="false">DEC2BIN(E10,5)</f>
        <v>00010</v>
      </c>
      <c r="G10" s="135" t="n">
        <v>6</v>
      </c>
      <c r="H10" s="136" t="str">
        <f aca="false">DEC2BIN(G10,5)</f>
        <v>00110</v>
      </c>
      <c r="I10" s="6" t="s">
        <v>18</v>
      </c>
      <c r="J10" s="7" t="str">
        <f aca="false">SUBSTITUTE(I10,"_","")</f>
        <v>00000001001000000</v>
      </c>
      <c r="K10" s="135" t="s">
        <v>231</v>
      </c>
      <c r="L10" s="137" t="s">
        <v>231</v>
      </c>
      <c r="M10" s="144" t="str">
        <f aca="false">D10&amp;F10&amp;H10&amp;J10</f>
        <v>00001000100011000000001001000000</v>
      </c>
      <c r="N10" s="19" t="n">
        <v>0</v>
      </c>
      <c r="O10" s="19" t="n">
        <f aca="false">O9</f>
        <v>32768</v>
      </c>
      <c r="P10" s="19" t="n">
        <f aca="false">P9</f>
        <v>256</v>
      </c>
      <c r="Q10" s="19" t="n">
        <f aca="false">O10+P10</f>
        <v>33024</v>
      </c>
      <c r="R10" s="19" t="n">
        <f aca="false">Q10-P10</f>
        <v>32768</v>
      </c>
      <c r="S10" s="160" t="n">
        <f aca="false">S9</f>
        <v>0</v>
      </c>
      <c r="T10" s="158" t="n">
        <v>33024</v>
      </c>
      <c r="AC10" s="133"/>
      <c r="AD10" s="24" t="s">
        <v>11</v>
      </c>
      <c r="AE10" s="154" t="n">
        <v>8860040</v>
      </c>
      <c r="AF10" s="156" t="s">
        <v>534</v>
      </c>
      <c r="AG10" s="148" t="n">
        <v>6</v>
      </c>
      <c r="AH10" s="148" t="n">
        <v>1</v>
      </c>
      <c r="AI10" s="147" t="n">
        <v>6</v>
      </c>
      <c r="AJ10" s="147" t="n">
        <v>2</v>
      </c>
      <c r="AK10" s="133"/>
      <c r="AL10" s="159" t="s">
        <v>535</v>
      </c>
      <c r="AM10" s="148" t="n">
        <v>6</v>
      </c>
      <c r="AN10" s="148" t="n">
        <v>2</v>
      </c>
      <c r="AP10" s="149" t="s">
        <v>529</v>
      </c>
      <c r="AQ10" s="149" t="s">
        <v>529</v>
      </c>
      <c r="AR10" s="149"/>
      <c r="AS10" s="149" t="s">
        <v>395</v>
      </c>
      <c r="AT10" s="157" t="s">
        <v>231</v>
      </c>
      <c r="AU10" s="149" t="n">
        <v>5</v>
      </c>
      <c r="AV10" s="149" t="n">
        <v>3</v>
      </c>
      <c r="AX10" s="149" t="s">
        <v>536</v>
      </c>
      <c r="AY10" s="149" t="s">
        <v>536</v>
      </c>
      <c r="AZ10" s="149" t="n">
        <v>5</v>
      </c>
      <c r="BA10" s="149" t="n">
        <v>4</v>
      </c>
      <c r="BC10" s="149" t="s">
        <v>536</v>
      </c>
      <c r="BD10" s="149" t="s">
        <v>536</v>
      </c>
      <c r="BE10" s="149" t="n">
        <v>5</v>
      </c>
      <c r="BF10" s="149" t="n">
        <v>5</v>
      </c>
    </row>
    <row collapsed="false" customFormat="false" customHeight="false" hidden="false" ht="48.75" outlineLevel="0" r="11">
      <c r="A11" s="24" t="s">
        <v>26</v>
      </c>
      <c r="B11" s="24" t="s">
        <v>537</v>
      </c>
      <c r="C11" s="84" t="n">
        <v>1</v>
      </c>
      <c r="D11" s="141" t="str">
        <f aca="false">DEC2BIN(C11,5)</f>
        <v>00001</v>
      </c>
      <c r="E11" s="135" t="n">
        <v>2</v>
      </c>
      <c r="F11" s="84" t="str">
        <f aca="false">DEC2BIN(E11,5)</f>
        <v>00010</v>
      </c>
      <c r="G11" s="135" t="n">
        <v>7</v>
      </c>
      <c r="H11" s="136" t="str">
        <f aca="false">DEC2BIN(G11,5)</f>
        <v>00111</v>
      </c>
      <c r="I11" s="6" t="s">
        <v>24</v>
      </c>
      <c r="J11" s="7" t="str">
        <f aca="false">SUBSTITUTE(I11,"_","")</f>
        <v>00000001011000000</v>
      </c>
      <c r="K11" s="135" t="s">
        <v>231</v>
      </c>
      <c r="L11" s="137" t="s">
        <v>231</v>
      </c>
      <c r="M11" s="144" t="str">
        <f aca="false">D11&amp;F11&amp;H11&amp;J11</f>
        <v>00001000100011100000001011000000</v>
      </c>
      <c r="N11" s="19" t="n">
        <v>0</v>
      </c>
      <c r="O11" s="19" t="n">
        <f aca="false">O10</f>
        <v>32768</v>
      </c>
      <c r="P11" s="19" t="n">
        <f aca="false">P10</f>
        <v>256</v>
      </c>
      <c r="Q11" s="19" t="n">
        <f aca="false">O11+P11</f>
        <v>33024</v>
      </c>
      <c r="R11" s="19" t="n">
        <f aca="false">Q11-P11</f>
        <v>32768</v>
      </c>
      <c r="S11" s="160" t="n">
        <f aca="false">S10</f>
        <v>0</v>
      </c>
      <c r="T11" s="19" t="n">
        <f aca="false">T10</f>
        <v>33024</v>
      </c>
      <c r="U11" s="145" t="n">
        <v>33024</v>
      </c>
      <c r="AC11" s="133"/>
      <c r="AD11" s="24" t="s">
        <v>14</v>
      </c>
      <c r="AE11" s="154" t="n">
        <v>18880100</v>
      </c>
      <c r="AF11" s="156" t="s">
        <v>538</v>
      </c>
      <c r="AG11" s="148" t="n">
        <v>7</v>
      </c>
      <c r="AH11" s="148" t="n">
        <v>1</v>
      </c>
      <c r="AI11" s="147" t="n">
        <v>7</v>
      </c>
      <c r="AJ11" s="147" t="n">
        <v>2</v>
      </c>
      <c r="AK11" s="133"/>
      <c r="AL11" s="159" t="s">
        <v>539</v>
      </c>
      <c r="AM11" s="148" t="n">
        <v>7</v>
      </c>
      <c r="AN11" s="148" t="n">
        <v>2</v>
      </c>
      <c r="AP11" s="149" t="s">
        <v>525</v>
      </c>
      <c r="AQ11" s="149" t="s">
        <v>525</v>
      </c>
      <c r="AR11" s="149"/>
      <c r="AS11" s="161" t="s">
        <v>529</v>
      </c>
      <c r="AT11" s="161" t="s">
        <v>536</v>
      </c>
      <c r="AU11" s="149" t="n">
        <v>6</v>
      </c>
      <c r="AV11" s="149" t="n">
        <v>3</v>
      </c>
      <c r="AX11" s="161" t="s">
        <v>540</v>
      </c>
      <c r="AY11" s="161" t="s">
        <v>541</v>
      </c>
      <c r="AZ11" s="149" t="n">
        <v>6</v>
      </c>
      <c r="BA11" s="149" t="n">
        <v>4</v>
      </c>
      <c r="BC11" s="161" t="s">
        <v>540</v>
      </c>
      <c r="BD11" s="161" t="s">
        <v>541</v>
      </c>
      <c r="BE11" s="149" t="n">
        <v>6</v>
      </c>
      <c r="BF11" s="149" t="n">
        <v>5</v>
      </c>
    </row>
    <row collapsed="false" customFormat="false" customHeight="false" hidden="false" ht="33" outlineLevel="0" r="12">
      <c r="A12" s="24" t="s">
        <v>29</v>
      </c>
      <c r="B12" s="24" t="s">
        <v>542</v>
      </c>
      <c r="C12" s="84" t="n">
        <v>2</v>
      </c>
      <c r="D12" s="141" t="str">
        <f aca="false">DEC2BIN(C12,5)</f>
        <v>00010</v>
      </c>
      <c r="E12" s="135" t="n">
        <v>0</v>
      </c>
      <c r="F12" s="84" t="str">
        <f aca="false">DEC2BIN(E12,5)</f>
        <v>00000</v>
      </c>
      <c r="G12" s="135" t="n">
        <v>8</v>
      </c>
      <c r="H12" s="136" t="str">
        <f aca="false">DEC2BIN(G12,5)</f>
        <v>01000</v>
      </c>
      <c r="I12" s="6" t="s">
        <v>27</v>
      </c>
      <c r="J12" s="7" t="str">
        <f aca="false">SUBSTITUTE(I12,"_","")</f>
        <v>00000001100000000</v>
      </c>
      <c r="K12" s="135" t="s">
        <v>231</v>
      </c>
      <c r="L12" s="137" t="s">
        <v>231</v>
      </c>
      <c r="M12" s="144" t="str">
        <f aca="false">D12&amp;F12&amp;H12&amp;J12</f>
        <v>00010000000100000000001100000000</v>
      </c>
      <c r="N12" s="19" t="n">
        <v>0</v>
      </c>
      <c r="O12" s="19" t="n">
        <f aca="false">O11</f>
        <v>32768</v>
      </c>
      <c r="P12" s="19" t="n">
        <f aca="false">P11</f>
        <v>256</v>
      </c>
      <c r="Q12" s="19" t="n">
        <f aca="false">O12+P12</f>
        <v>33024</v>
      </c>
      <c r="R12" s="19" t="n">
        <f aca="false">Q12-P12</f>
        <v>32768</v>
      </c>
      <c r="S12" s="160" t="n">
        <f aca="false">S11</f>
        <v>0</v>
      </c>
      <c r="T12" s="19" t="n">
        <f aca="false">T11</f>
        <v>33024</v>
      </c>
      <c r="U12" s="19" t="n">
        <f aca="false">U11</f>
        <v>33024</v>
      </c>
      <c r="V12" s="145" t="n">
        <v>65279</v>
      </c>
      <c r="AC12" s="133"/>
      <c r="AD12" s="24" t="s">
        <v>17</v>
      </c>
      <c r="AE12" s="154" t="s">
        <v>543</v>
      </c>
      <c r="AF12" s="156" t="s">
        <v>544</v>
      </c>
      <c r="AG12" s="148" t="n">
        <v>8</v>
      </c>
      <c r="AH12" s="148" t="n">
        <v>1</v>
      </c>
      <c r="AI12" s="147" t="n">
        <v>8</v>
      </c>
      <c r="AJ12" s="147" t="n">
        <v>2</v>
      </c>
      <c r="AK12" s="133"/>
      <c r="AL12" s="159" t="s">
        <v>545</v>
      </c>
      <c r="AM12" s="148" t="n">
        <v>8</v>
      </c>
      <c r="AN12" s="148" t="n">
        <v>2</v>
      </c>
      <c r="AP12" s="161" t="s">
        <v>395</v>
      </c>
      <c r="AQ12" s="161" t="s">
        <v>541</v>
      </c>
      <c r="AR12" s="149"/>
      <c r="AS12" s="161" t="s">
        <v>529</v>
      </c>
      <c r="AT12" s="161" t="s">
        <v>536</v>
      </c>
      <c r="AU12" s="149" t="n">
        <v>7</v>
      </c>
      <c r="AV12" s="149" t="n">
        <v>3</v>
      </c>
      <c r="AX12" s="161" t="s">
        <v>536</v>
      </c>
      <c r="AY12" s="161" t="s">
        <v>525</v>
      </c>
      <c r="AZ12" s="149" t="n">
        <v>7</v>
      </c>
      <c r="BA12" s="149" t="n">
        <v>4</v>
      </c>
      <c r="BC12" s="161" t="s">
        <v>536</v>
      </c>
      <c r="BD12" s="161" t="s">
        <v>525</v>
      </c>
      <c r="BE12" s="149" t="n">
        <v>7</v>
      </c>
      <c r="BF12" s="149" t="n">
        <v>5</v>
      </c>
    </row>
    <row collapsed="false" customFormat="false" customHeight="false" hidden="false" ht="96" outlineLevel="0" r="13">
      <c r="A13" s="24" t="s">
        <v>34</v>
      </c>
      <c r="B13" s="24" t="s">
        <v>546</v>
      </c>
      <c r="C13" s="84" t="n">
        <v>2</v>
      </c>
      <c r="D13" s="141" t="str">
        <f aca="false">DEC2BIN(C13,5)</f>
        <v>00010</v>
      </c>
      <c r="E13" s="135" t="n">
        <v>0</v>
      </c>
      <c r="F13" s="84" t="str">
        <f aca="false">DEC2BIN(E13,5)</f>
        <v>00000</v>
      </c>
      <c r="G13" s="135" t="n">
        <v>9</v>
      </c>
      <c r="H13" s="136" t="str">
        <f aca="false">DEC2BIN(G13,5)</f>
        <v>01001</v>
      </c>
      <c r="I13" s="6" t="s">
        <v>32</v>
      </c>
      <c r="J13" s="7" t="str">
        <f aca="false">SUBSTITUTE(I13,"_","")</f>
        <v>00000010000000000</v>
      </c>
      <c r="K13" s="135" t="s">
        <v>231</v>
      </c>
      <c r="L13" s="137" t="s">
        <v>231</v>
      </c>
      <c r="M13" s="144" t="str">
        <f aca="false">D13&amp;F13&amp;H13&amp;J13</f>
        <v>00010000000100100000010000000000</v>
      </c>
      <c r="N13" s="19" t="n">
        <v>0</v>
      </c>
      <c r="O13" s="19" t="n">
        <f aca="false">O12</f>
        <v>32768</v>
      </c>
      <c r="P13" s="19" t="n">
        <f aca="false">P12</f>
        <v>256</v>
      </c>
      <c r="Q13" s="19" t="n">
        <f aca="false">O13+P13</f>
        <v>33024</v>
      </c>
      <c r="R13" s="19" t="n">
        <f aca="false">Q13-P13</f>
        <v>32768</v>
      </c>
      <c r="S13" s="160" t="n">
        <f aca="false">S12</f>
        <v>0</v>
      </c>
      <c r="T13" s="19" t="n">
        <f aca="false">T12</f>
        <v>33024</v>
      </c>
      <c r="U13" s="19" t="n">
        <f aca="false">U12</f>
        <v>33024</v>
      </c>
      <c r="V13" s="19" t="n">
        <f aca="false">V12</f>
        <v>65279</v>
      </c>
      <c r="W13" s="145" t="n">
        <f aca="false">A47</f>
        <v>128</v>
      </c>
      <c r="AC13" s="133"/>
      <c r="AD13" s="24" t="s">
        <v>20</v>
      </c>
      <c r="AE13" s="154" t="s">
        <v>547</v>
      </c>
      <c r="AF13" s="156" t="s">
        <v>548</v>
      </c>
      <c r="AG13" s="148" t="n">
        <v>9</v>
      </c>
      <c r="AH13" s="148" t="n">
        <v>1</v>
      </c>
      <c r="AI13" s="147" t="n">
        <v>9</v>
      </c>
      <c r="AJ13" s="147" t="n">
        <v>2</v>
      </c>
      <c r="AK13" s="133"/>
      <c r="AL13" s="159" t="s">
        <v>549</v>
      </c>
      <c r="AM13" s="148" t="n">
        <v>9</v>
      </c>
      <c r="AN13" s="148" t="n">
        <v>2</v>
      </c>
      <c r="AP13" s="149" t="s">
        <v>525</v>
      </c>
      <c r="AQ13" s="149" t="s">
        <v>525</v>
      </c>
      <c r="AR13" s="149"/>
      <c r="AS13" s="161" t="s">
        <v>529</v>
      </c>
      <c r="AT13" s="161" t="s">
        <v>536</v>
      </c>
      <c r="AU13" s="149" t="n">
        <v>8</v>
      </c>
      <c r="AV13" s="149" t="n">
        <v>3</v>
      </c>
      <c r="AX13" s="161" t="s">
        <v>525</v>
      </c>
      <c r="AY13" s="161" t="s">
        <v>395</v>
      </c>
      <c r="AZ13" s="149" t="n">
        <v>8</v>
      </c>
      <c r="BA13" s="149" t="n">
        <v>4</v>
      </c>
      <c r="BC13" s="161" t="s">
        <v>525</v>
      </c>
      <c r="BD13" s="161" t="s">
        <v>395</v>
      </c>
      <c r="BE13" s="149" t="n">
        <v>8</v>
      </c>
      <c r="BF13" s="149" t="n">
        <v>5</v>
      </c>
    </row>
    <row collapsed="false" customFormat="false" customHeight="false" hidden="false" ht="48.75" outlineLevel="0" r="14">
      <c r="A14" s="24" t="s">
        <v>38</v>
      </c>
      <c r="B14" s="24" t="s">
        <v>550</v>
      </c>
      <c r="C14" s="84" t="n">
        <v>3</v>
      </c>
      <c r="D14" s="141" t="str">
        <f aca="false">DEC2BIN(C14,5)</f>
        <v>00011</v>
      </c>
      <c r="E14" s="135" t="n">
        <v>0</v>
      </c>
      <c r="F14" s="84" t="str">
        <f aca="false">DEC2BIN(E14,5)</f>
        <v>00000</v>
      </c>
      <c r="G14" s="135" t="n">
        <v>10</v>
      </c>
      <c r="H14" s="136" t="str">
        <f aca="false">DEC2BIN(G14,5)</f>
        <v>01010</v>
      </c>
      <c r="I14" s="6" t="s">
        <v>36</v>
      </c>
      <c r="J14" s="7" t="str">
        <f aca="false">SUBSTITUTE(I14,"_","")</f>
        <v>00000010001000000</v>
      </c>
      <c r="K14" s="135" t="s">
        <v>231</v>
      </c>
      <c r="L14" s="137" t="s">
        <v>231</v>
      </c>
      <c r="M14" s="144" t="str">
        <f aca="false">D14&amp;F14&amp;H14&amp;J14</f>
        <v>00011000000101000000010001000000</v>
      </c>
      <c r="N14" s="19" t="n">
        <v>0</v>
      </c>
      <c r="O14" s="19" t="n">
        <f aca="false">O13</f>
        <v>32768</v>
      </c>
      <c r="P14" s="19" t="n">
        <f aca="false">P13</f>
        <v>256</v>
      </c>
      <c r="Q14" s="19" t="n">
        <f aca="false">O14+P14</f>
        <v>33024</v>
      </c>
      <c r="R14" s="19" t="n">
        <f aca="false">Q14-P14</f>
        <v>32768</v>
      </c>
      <c r="S14" s="160" t="n">
        <f aca="false">S13</f>
        <v>0</v>
      </c>
      <c r="T14" s="19" t="n">
        <f aca="false">T13</f>
        <v>33024</v>
      </c>
      <c r="U14" s="19" t="n">
        <f aca="false">U13</f>
        <v>33024</v>
      </c>
      <c r="V14" s="19" t="n">
        <f aca="false">V13</f>
        <v>65279</v>
      </c>
      <c r="W14" s="19" t="n">
        <f aca="false">W13</f>
        <v>128</v>
      </c>
      <c r="X14" s="145" t="n">
        <f aca="false">A51</f>
        <v>16512</v>
      </c>
      <c r="AC14" s="133"/>
      <c r="AD14" s="24" t="s">
        <v>26</v>
      </c>
      <c r="AE14" s="154" t="s">
        <v>551</v>
      </c>
      <c r="AF14" s="156" t="s">
        <v>552</v>
      </c>
      <c r="AG14" s="148" t="s">
        <v>237</v>
      </c>
      <c r="AH14" s="148" t="n">
        <v>1</v>
      </c>
      <c r="AI14" s="147" t="s">
        <v>237</v>
      </c>
      <c r="AJ14" s="147" t="n">
        <v>2</v>
      </c>
      <c r="AK14" s="133"/>
      <c r="AL14" s="159" t="s">
        <v>553</v>
      </c>
      <c r="AM14" s="148" t="s">
        <v>237</v>
      </c>
      <c r="AN14" s="148" t="n">
        <v>2</v>
      </c>
      <c r="AP14" s="149" t="s">
        <v>525</v>
      </c>
      <c r="AQ14" s="149" t="s">
        <v>525</v>
      </c>
      <c r="AR14" s="149"/>
      <c r="AS14" s="161" t="s">
        <v>529</v>
      </c>
      <c r="AT14" s="161" t="s">
        <v>536</v>
      </c>
      <c r="AU14" s="149" t="n">
        <v>9</v>
      </c>
      <c r="AV14" s="149" t="n">
        <v>3</v>
      </c>
      <c r="AX14" s="161" t="s">
        <v>529</v>
      </c>
      <c r="AY14" s="161" t="s">
        <v>541</v>
      </c>
      <c r="AZ14" s="149" t="n">
        <v>9</v>
      </c>
      <c r="BA14" s="149" t="n">
        <v>4</v>
      </c>
      <c r="BC14" s="161" t="s">
        <v>529</v>
      </c>
      <c r="BD14" s="161" t="s">
        <v>541</v>
      </c>
      <c r="BE14" s="149" t="n">
        <v>9</v>
      </c>
      <c r="BF14" s="149" t="n">
        <v>5</v>
      </c>
    </row>
    <row collapsed="false" customFormat="false" customHeight="false" hidden="false" ht="96" outlineLevel="0" r="15">
      <c r="A15" s="16" t="s">
        <v>554</v>
      </c>
      <c r="B15" s="24" t="s">
        <v>555</v>
      </c>
      <c r="C15" s="84" t="n">
        <v>4</v>
      </c>
      <c r="D15" s="141" t="str">
        <f aca="false">DEC2BIN(C15,5)</f>
        <v>00100</v>
      </c>
      <c r="E15" s="135" t="n">
        <v>0</v>
      </c>
      <c r="F15" s="84" t="str">
        <f aca="false">DEC2BIN(E15,5)</f>
        <v>00000</v>
      </c>
      <c r="G15" s="135" t="n">
        <v>11</v>
      </c>
      <c r="H15" s="136" t="str">
        <f aca="false">DEC2BIN(G15,5)</f>
        <v>01011</v>
      </c>
      <c r="I15" s="6" t="s">
        <v>40</v>
      </c>
      <c r="J15" s="7" t="str">
        <f aca="false">SUBSTITUTE(I15,"_","")</f>
        <v>00000010011000000</v>
      </c>
      <c r="K15" s="135" t="s">
        <v>231</v>
      </c>
      <c r="L15" s="137" t="s">
        <v>231</v>
      </c>
      <c r="M15" s="144" t="str">
        <f aca="false">D15&amp;F15&amp;H15&amp;J15</f>
        <v>00100000000101100000010011000000</v>
      </c>
      <c r="N15" s="19" t="n">
        <v>0</v>
      </c>
      <c r="O15" s="19" t="n">
        <f aca="false">O14</f>
        <v>32768</v>
      </c>
      <c r="P15" s="19" t="n">
        <f aca="false">P14</f>
        <v>256</v>
      </c>
      <c r="Q15" s="19" t="n">
        <f aca="false">O15+P15</f>
        <v>33024</v>
      </c>
      <c r="R15" s="19" t="n">
        <f aca="false">Q15-P15</f>
        <v>32768</v>
      </c>
      <c r="S15" s="160" t="n">
        <f aca="false">S14</f>
        <v>0</v>
      </c>
      <c r="T15" s="19" t="n">
        <f aca="false">T14</f>
        <v>33024</v>
      </c>
      <c r="U15" s="19" t="n">
        <f aca="false">U14</f>
        <v>33024</v>
      </c>
      <c r="V15" s="19" t="n">
        <f aca="false">V14</f>
        <v>65279</v>
      </c>
      <c r="W15" s="19" t="n">
        <f aca="false">W14</f>
        <v>128</v>
      </c>
      <c r="X15" s="19" t="n">
        <f aca="false">X14</f>
        <v>16512</v>
      </c>
      <c r="Y15" s="145" t="n">
        <f aca="false">A55</f>
        <v>65536</v>
      </c>
      <c r="AC15" s="133"/>
      <c r="AD15" s="24" t="s">
        <v>29</v>
      </c>
      <c r="AE15" s="154" t="n">
        <v>10100300</v>
      </c>
      <c r="AF15" s="156" t="s">
        <v>556</v>
      </c>
      <c r="AG15" s="148" t="s">
        <v>233</v>
      </c>
      <c r="AH15" s="148" t="n">
        <v>1</v>
      </c>
      <c r="AI15" s="147" t="s">
        <v>233</v>
      </c>
      <c r="AJ15" s="147" t="n">
        <v>2</v>
      </c>
      <c r="AK15" s="133"/>
      <c r="AL15" s="159" t="s">
        <v>557</v>
      </c>
      <c r="AM15" s="148" t="s">
        <v>233</v>
      </c>
      <c r="AN15" s="148" t="n">
        <v>2</v>
      </c>
      <c r="AP15" s="149" t="s">
        <v>525</v>
      </c>
      <c r="AQ15" s="149" t="s">
        <v>525</v>
      </c>
      <c r="AR15" s="149"/>
      <c r="AS15" s="161" t="s">
        <v>529</v>
      </c>
      <c r="AT15" s="161" t="s">
        <v>536</v>
      </c>
      <c r="AU15" s="149" t="s">
        <v>237</v>
      </c>
      <c r="AV15" s="149" t="n">
        <v>3</v>
      </c>
      <c r="AX15" s="161" t="s">
        <v>558</v>
      </c>
      <c r="AY15" s="161" t="s">
        <v>541</v>
      </c>
      <c r="AZ15" s="149" t="s">
        <v>237</v>
      </c>
      <c r="BA15" s="149" t="n">
        <v>4</v>
      </c>
      <c r="BC15" s="161" t="s">
        <v>558</v>
      </c>
      <c r="BD15" s="161" t="s">
        <v>541</v>
      </c>
      <c r="BE15" s="149" t="s">
        <v>237</v>
      </c>
      <c r="BF15" s="149" t="n">
        <v>5</v>
      </c>
    </row>
    <row collapsed="false" customFormat="false" customHeight="false" hidden="false" ht="111.75" outlineLevel="0" r="16">
      <c r="A16" s="24" t="s">
        <v>48</v>
      </c>
      <c r="B16" s="24" t="s">
        <v>559</v>
      </c>
      <c r="C16" s="84" t="n">
        <v>5</v>
      </c>
      <c r="D16" s="141" t="str">
        <f aca="false">DEC2BIN(C16,5)</f>
        <v>00101</v>
      </c>
      <c r="E16" s="135" t="n">
        <v>0</v>
      </c>
      <c r="F16" s="84" t="str">
        <f aca="false">DEC2BIN(E16,5)</f>
        <v>00000</v>
      </c>
      <c r="G16" s="135" t="n">
        <v>12</v>
      </c>
      <c r="H16" s="136" t="str">
        <f aca="false">DEC2BIN(G16,5)</f>
        <v>01100</v>
      </c>
      <c r="I16" s="6" t="s">
        <v>46</v>
      </c>
      <c r="J16" s="7" t="str">
        <f aca="false">SUBSTITUTE(I16,"_","")</f>
        <v>00000011001000000</v>
      </c>
      <c r="K16" s="135" t="s">
        <v>231</v>
      </c>
      <c r="L16" s="137" t="s">
        <v>231</v>
      </c>
      <c r="M16" s="144" t="str">
        <f aca="false">D16&amp;F16&amp;H16&amp;J16</f>
        <v>00101000000110000000011001000000</v>
      </c>
      <c r="N16" s="19" t="n">
        <v>0</v>
      </c>
      <c r="O16" s="19" t="n">
        <f aca="false">O15</f>
        <v>32768</v>
      </c>
      <c r="P16" s="19" t="n">
        <f aca="false">P15</f>
        <v>256</v>
      </c>
      <c r="Q16" s="19" t="n">
        <f aca="false">O16+P16</f>
        <v>33024</v>
      </c>
      <c r="R16" s="19" t="n">
        <f aca="false">Q16-P16</f>
        <v>32768</v>
      </c>
      <c r="S16" s="160" t="n">
        <f aca="false">S15</f>
        <v>0</v>
      </c>
      <c r="T16" s="19" t="n">
        <f aca="false">T15</f>
        <v>33024</v>
      </c>
      <c r="U16" s="19" t="n">
        <f aca="false">U15</f>
        <v>33024</v>
      </c>
      <c r="V16" s="19" t="n">
        <f aca="false">V15</f>
        <v>65279</v>
      </c>
      <c r="W16" s="19" t="n">
        <f aca="false">W15</f>
        <v>128</v>
      </c>
      <c r="X16" s="19" t="n">
        <f aca="false">X15</f>
        <v>16512</v>
      </c>
      <c r="Y16" s="19" t="n">
        <f aca="false">Y15</f>
        <v>65536</v>
      </c>
      <c r="Z16" s="145" t="str">
        <f aca="false">""&amp;A63&amp;"|"&amp;A65&amp;""</f>
        <v>0|1073741824</v>
      </c>
      <c r="AC16" s="133"/>
      <c r="AD16" s="24" t="s">
        <v>34</v>
      </c>
      <c r="AE16" s="154" t="n">
        <v>10120400</v>
      </c>
      <c r="AF16" s="156" t="s">
        <v>560</v>
      </c>
      <c r="AG16" s="148" t="s">
        <v>269</v>
      </c>
      <c r="AH16" s="148" t="n">
        <v>1</v>
      </c>
      <c r="AI16" s="147" t="s">
        <v>269</v>
      </c>
      <c r="AJ16" s="147" t="n">
        <v>2</v>
      </c>
      <c r="AK16" s="133"/>
      <c r="AL16" s="159" t="s">
        <v>561</v>
      </c>
      <c r="AM16" s="148" t="s">
        <v>269</v>
      </c>
      <c r="AN16" s="148" t="n">
        <v>2</v>
      </c>
      <c r="AP16" s="161" t="s">
        <v>529</v>
      </c>
      <c r="AQ16" s="161" t="s">
        <v>536</v>
      </c>
      <c r="AR16" s="149"/>
      <c r="AS16" s="149" t="s">
        <v>558</v>
      </c>
      <c r="AT16" s="149" t="s">
        <v>231</v>
      </c>
      <c r="AU16" s="149" t="s">
        <v>233</v>
      </c>
      <c r="AV16" s="149" t="n">
        <v>3</v>
      </c>
      <c r="AX16" s="161" t="s">
        <v>562</v>
      </c>
      <c r="AY16" s="161" t="s">
        <v>563</v>
      </c>
      <c r="AZ16" s="149" t="s">
        <v>233</v>
      </c>
      <c r="BA16" s="149" t="n">
        <v>4</v>
      </c>
      <c r="BC16" s="161" t="s">
        <v>562</v>
      </c>
      <c r="BD16" s="161" t="s">
        <v>563</v>
      </c>
      <c r="BE16" s="149" t="s">
        <v>233</v>
      </c>
      <c r="BF16" s="149" t="n">
        <v>5</v>
      </c>
    </row>
    <row collapsed="false" customFormat="false" customHeight="false" hidden="false" ht="111.75" outlineLevel="0" r="17">
      <c r="A17" s="24" t="s">
        <v>52</v>
      </c>
      <c r="B17" s="24" t="s">
        <v>564</v>
      </c>
      <c r="C17" s="84" t="n">
        <v>6</v>
      </c>
      <c r="D17" s="141" t="str">
        <f aca="false">DEC2BIN(C17,5)</f>
        <v>00110</v>
      </c>
      <c r="E17" s="135" t="n">
        <v>0</v>
      </c>
      <c r="F17" s="84" t="str">
        <f aca="false">DEC2BIN(E17,5)</f>
        <v>00000</v>
      </c>
      <c r="G17" s="135" t="n">
        <v>13</v>
      </c>
      <c r="H17" s="136" t="str">
        <f aca="false">DEC2BIN(G17,5)</f>
        <v>01101</v>
      </c>
      <c r="I17" s="6" t="s">
        <v>50</v>
      </c>
      <c r="J17" s="7" t="str">
        <f aca="false">SUBSTITUTE(I17,"_","")</f>
        <v>00000011010000000</v>
      </c>
      <c r="K17" s="135" t="s">
        <v>231</v>
      </c>
      <c r="L17" s="137" t="s">
        <v>231</v>
      </c>
      <c r="M17" s="144" t="str">
        <f aca="false">D17&amp;F17&amp;H17&amp;J17</f>
        <v>00110000000110100000011010000000</v>
      </c>
      <c r="N17" s="19" t="n">
        <v>0</v>
      </c>
      <c r="O17" s="19" t="n">
        <f aca="false">O16</f>
        <v>32768</v>
      </c>
      <c r="P17" s="19" t="n">
        <f aca="false">P16</f>
        <v>256</v>
      </c>
      <c r="Q17" s="19" t="n">
        <f aca="false">O17+P17</f>
        <v>33024</v>
      </c>
      <c r="R17" s="19" t="n">
        <f aca="false">Q17-P17</f>
        <v>32768</v>
      </c>
      <c r="S17" s="160" t="n">
        <f aca="false">S16</f>
        <v>0</v>
      </c>
      <c r="T17" s="19" t="n">
        <f aca="false">T16</f>
        <v>33024</v>
      </c>
      <c r="U17" s="19" t="n">
        <f aca="false">U16</f>
        <v>33024</v>
      </c>
      <c r="V17" s="19" t="n">
        <f aca="false">V16</f>
        <v>65279</v>
      </c>
      <c r="W17" s="19" t="n">
        <f aca="false">W16</f>
        <v>128</v>
      </c>
      <c r="X17" s="19" t="n">
        <f aca="false">X16</f>
        <v>16512</v>
      </c>
      <c r="Y17" s="19" t="n">
        <f aca="false">Y16</f>
        <v>65536</v>
      </c>
      <c r="Z17" s="19" t="str">
        <f aca="false">Z16</f>
        <v>0|1073741824</v>
      </c>
      <c r="AA17" s="145" t="str">
        <f aca="false">""&amp;A59&amp;"|"&amp;A61&amp;""</f>
        <v>66048|66049</v>
      </c>
      <c r="AC17" s="133"/>
      <c r="AD17" s="24" t="s">
        <v>38</v>
      </c>
      <c r="AE17" s="154" t="n">
        <v>18140440</v>
      </c>
      <c r="AF17" s="156" t="s">
        <v>565</v>
      </c>
      <c r="AG17" s="148" t="s">
        <v>566</v>
      </c>
      <c r="AH17" s="148" t="n">
        <v>1</v>
      </c>
      <c r="AI17" s="147" t="s">
        <v>566</v>
      </c>
      <c r="AJ17" s="147" t="n">
        <v>2</v>
      </c>
      <c r="AK17" s="133"/>
      <c r="AL17" s="159" t="s">
        <v>567</v>
      </c>
      <c r="AM17" s="148" t="s">
        <v>566</v>
      </c>
      <c r="AN17" s="148" t="n">
        <v>2</v>
      </c>
      <c r="AP17" s="161" t="s">
        <v>529</v>
      </c>
      <c r="AQ17" s="161" t="s">
        <v>536</v>
      </c>
      <c r="AR17" s="149"/>
      <c r="AS17" s="149" t="s">
        <v>562</v>
      </c>
      <c r="AT17" s="149" t="s">
        <v>231</v>
      </c>
      <c r="AU17" s="149" t="s">
        <v>269</v>
      </c>
      <c r="AV17" s="149" t="n">
        <v>3</v>
      </c>
      <c r="AX17" s="161" t="s">
        <v>568</v>
      </c>
      <c r="AY17" s="161" t="s">
        <v>569</v>
      </c>
      <c r="AZ17" s="149" t="s">
        <v>269</v>
      </c>
      <c r="BA17" s="149" t="n">
        <v>4</v>
      </c>
      <c r="BC17" s="161" t="s">
        <v>568</v>
      </c>
      <c r="BD17" s="161" t="s">
        <v>569</v>
      </c>
      <c r="BE17" s="149" t="s">
        <v>269</v>
      </c>
      <c r="BF17" s="149" t="n">
        <v>5</v>
      </c>
    </row>
    <row collapsed="false" customFormat="false" customHeight="false" hidden="false" ht="17.25" outlineLevel="0" r="18">
      <c r="I18" s="19"/>
      <c r="J18" s="19"/>
      <c r="AC18" s="133"/>
      <c r="AD18" s="24" t="s">
        <v>554</v>
      </c>
      <c r="AE18" s="154" t="s">
        <v>570</v>
      </c>
      <c r="AF18" s="156" t="s">
        <v>571</v>
      </c>
      <c r="AG18" s="148" t="s">
        <v>452</v>
      </c>
      <c r="AH18" s="148" t="n">
        <v>1</v>
      </c>
      <c r="AI18" s="147" t="s">
        <v>452</v>
      </c>
      <c r="AJ18" s="147" t="n">
        <v>2</v>
      </c>
      <c r="AK18" s="133"/>
      <c r="AL18" s="159" t="s">
        <v>572</v>
      </c>
      <c r="AM18" s="148" t="s">
        <v>452</v>
      </c>
      <c r="AN18" s="148" t="n">
        <v>2</v>
      </c>
      <c r="AP18" s="161" t="s">
        <v>395</v>
      </c>
      <c r="AQ18" s="161" t="s">
        <v>541</v>
      </c>
      <c r="AR18" s="149"/>
      <c r="AS18" s="149" t="s">
        <v>568</v>
      </c>
      <c r="AT18" s="149" t="s">
        <v>231</v>
      </c>
      <c r="AU18" s="149" t="s">
        <v>566</v>
      </c>
      <c r="AV18" s="149" t="n">
        <v>3</v>
      </c>
      <c r="AX18" s="161" t="s">
        <v>395</v>
      </c>
      <c r="AY18" s="161" t="s">
        <v>573</v>
      </c>
      <c r="AZ18" s="149" t="s">
        <v>566</v>
      </c>
      <c r="BA18" s="149" t="n">
        <v>4</v>
      </c>
      <c r="BC18" s="161" t="s">
        <v>395</v>
      </c>
      <c r="BD18" s="161" t="s">
        <v>573</v>
      </c>
      <c r="BE18" s="149" t="s">
        <v>566</v>
      </c>
      <c r="BF18" s="149" t="n">
        <v>5</v>
      </c>
    </row>
    <row collapsed="false" customFormat="false" customHeight="false" hidden="false" ht="48.75" outlineLevel="0" r="19">
      <c r="A19" s="16" t="s">
        <v>185</v>
      </c>
      <c r="B19" s="16" t="s">
        <v>186</v>
      </c>
      <c r="C19" s="162" t="s">
        <v>574</v>
      </c>
      <c r="D19" s="162" t="s">
        <v>575</v>
      </c>
      <c r="E19" s="162" t="s">
        <v>576</v>
      </c>
      <c r="F19" s="162" t="s">
        <v>577</v>
      </c>
      <c r="G19" s="163" t="s">
        <v>195</v>
      </c>
      <c r="H19" s="164"/>
      <c r="I19" s="165" t="s">
        <v>516</v>
      </c>
      <c r="J19" s="133"/>
      <c r="K19" s="133"/>
      <c r="L19" s="133"/>
      <c r="N19" s="24" t="s">
        <v>198</v>
      </c>
      <c r="O19" s="24" t="s">
        <v>199</v>
      </c>
      <c r="P19" s="24" t="s">
        <v>200</v>
      </c>
      <c r="Q19" s="24" t="s">
        <v>201</v>
      </c>
      <c r="R19" s="24" t="s">
        <v>202</v>
      </c>
      <c r="S19" s="24" t="s">
        <v>203</v>
      </c>
      <c r="T19" s="24" t="s">
        <v>204</v>
      </c>
      <c r="U19" s="24" t="s">
        <v>205</v>
      </c>
      <c r="V19" s="24" t="s">
        <v>206</v>
      </c>
      <c r="W19" s="24" t="s">
        <v>207</v>
      </c>
      <c r="X19" s="24" t="s">
        <v>208</v>
      </c>
      <c r="Y19" s="24" t="s">
        <v>209</v>
      </c>
      <c r="Z19" s="24" t="s">
        <v>210</v>
      </c>
      <c r="AA19" s="24" t="s">
        <v>211</v>
      </c>
      <c r="AC19" s="133"/>
      <c r="AD19" s="24" t="s">
        <v>48</v>
      </c>
      <c r="AE19" s="154" t="n">
        <v>28180640</v>
      </c>
      <c r="AF19" s="156" t="s">
        <v>578</v>
      </c>
      <c r="AG19" s="148" t="s">
        <v>579</v>
      </c>
      <c r="AH19" s="148" t="n">
        <v>1</v>
      </c>
      <c r="AI19" s="147" t="s">
        <v>579</v>
      </c>
      <c r="AJ19" s="147" t="n">
        <v>2</v>
      </c>
      <c r="AK19" s="133"/>
      <c r="AL19" s="159" t="s">
        <v>580</v>
      </c>
      <c r="AM19" s="148" t="s">
        <v>579</v>
      </c>
      <c r="AN19" s="148" t="n">
        <v>2</v>
      </c>
      <c r="AP19" s="161" t="s">
        <v>395</v>
      </c>
      <c r="AQ19" s="161" t="s">
        <v>525</v>
      </c>
      <c r="AR19" s="149"/>
      <c r="AS19" s="149" t="s">
        <v>395</v>
      </c>
      <c r="AT19" s="149" t="s">
        <v>231</v>
      </c>
      <c r="AU19" s="149" t="s">
        <v>452</v>
      </c>
      <c r="AV19" s="149" t="n">
        <v>3</v>
      </c>
      <c r="AX19" s="161" t="s">
        <v>395</v>
      </c>
      <c r="AY19" s="161" t="s">
        <v>581</v>
      </c>
      <c r="AZ19" s="149" t="s">
        <v>452</v>
      </c>
      <c r="BA19" s="149" t="n">
        <v>4</v>
      </c>
      <c r="BC19" s="161" t="s">
        <v>395</v>
      </c>
      <c r="BD19" s="161" t="s">
        <v>581</v>
      </c>
      <c r="BE19" s="149" t="s">
        <v>452</v>
      </c>
      <c r="BF19" s="149" t="n">
        <v>5</v>
      </c>
    </row>
    <row collapsed="false" customFormat="false" customHeight="false" hidden="false" ht="17.25" outlineLevel="0" r="20">
      <c r="A20" s="24" t="s">
        <v>68</v>
      </c>
      <c r="B20" s="24" t="s">
        <v>499</v>
      </c>
      <c r="C20" s="166" t="str">
        <f aca="false">BIN2HEX(D2)</f>
        <v>0</v>
      </c>
      <c r="D20" s="166" t="str">
        <f aca="false">BIN2HEX(F2)</f>
        <v>0</v>
      </c>
      <c r="E20" s="166" t="str">
        <f aca="false">BIN2HEX(H2)</f>
        <v>0</v>
      </c>
      <c r="F20" s="166" t="s">
        <v>582</v>
      </c>
      <c r="G20" s="167" t="s">
        <v>231</v>
      </c>
      <c r="H20" s="168"/>
      <c r="I20" s="169" t="s">
        <v>519</v>
      </c>
      <c r="J20" s="133"/>
      <c r="K20" s="133"/>
      <c r="L20" s="133"/>
      <c r="M20" s="19"/>
      <c r="N20" s="170" t="str">
        <f aca="false">DEC2HEX(N2)</f>
        <v>0</v>
      </c>
      <c r="O20" s="138"/>
      <c r="P20" s="138"/>
      <c r="Q20" s="138"/>
      <c r="R20" s="138"/>
      <c r="S20" s="138"/>
      <c r="T20" s="138"/>
      <c r="U20" s="138"/>
      <c r="V20" s="138"/>
      <c r="W20" s="138"/>
      <c r="X20" s="138"/>
      <c r="Y20" s="138"/>
      <c r="Z20" s="138"/>
      <c r="AA20" s="138"/>
      <c r="AD20" s="24" t="s">
        <v>52</v>
      </c>
      <c r="AE20" s="154" t="s">
        <v>583</v>
      </c>
      <c r="AF20" s="156" t="s">
        <v>584</v>
      </c>
      <c r="AG20" s="148" t="n">
        <v>10</v>
      </c>
      <c r="AH20" s="148" t="n">
        <v>1</v>
      </c>
      <c r="AI20" s="147" t="n">
        <v>10</v>
      </c>
      <c r="AJ20" s="147" t="n">
        <v>2</v>
      </c>
      <c r="AK20" s="133"/>
      <c r="AL20" s="159" t="s">
        <v>585</v>
      </c>
      <c r="AM20" s="148" t="n">
        <v>10</v>
      </c>
      <c r="AN20" s="148" t="n">
        <v>2</v>
      </c>
      <c r="AP20" s="161" t="s">
        <v>395</v>
      </c>
      <c r="AQ20" s="161" t="s">
        <v>395</v>
      </c>
      <c r="AR20" s="149"/>
      <c r="AS20" s="149" t="s">
        <v>395</v>
      </c>
      <c r="AT20" s="149" t="s">
        <v>231</v>
      </c>
      <c r="AU20" s="149" t="s">
        <v>579</v>
      </c>
      <c r="AV20" s="149" t="n">
        <v>3</v>
      </c>
      <c r="AX20" s="161" t="s">
        <v>395</v>
      </c>
      <c r="AY20" s="161" t="s">
        <v>395</v>
      </c>
      <c r="AZ20" s="149" t="s">
        <v>579</v>
      </c>
      <c r="BA20" s="149" t="n">
        <v>4</v>
      </c>
      <c r="BC20" s="161" t="s">
        <v>395</v>
      </c>
      <c r="BD20" s="161" t="s">
        <v>395</v>
      </c>
      <c r="BE20" s="149" t="s">
        <v>579</v>
      </c>
      <c r="BF20" s="149" t="n">
        <v>5</v>
      </c>
    </row>
    <row collapsed="false" customFormat="false" customHeight="false" hidden="false" ht="17.25" outlineLevel="0" r="21">
      <c r="A21" s="43" t="s">
        <v>501</v>
      </c>
      <c r="B21" s="24" t="s">
        <v>502</v>
      </c>
      <c r="C21" s="166" t="str">
        <f aca="false">BIN2HEX(D3)</f>
        <v>0</v>
      </c>
      <c r="D21" s="166" t="s">
        <v>231</v>
      </c>
      <c r="E21" s="166" t="str">
        <f aca="false">BIN2HEX(H3)</f>
        <v>0</v>
      </c>
      <c r="F21" s="166" t="str">
        <f aca="false">BIN2HEX(J3)</f>
        <v>22</v>
      </c>
      <c r="G21" s="167" t="str">
        <f aca="false">DEC2HEX(K3)</f>
        <v>0</v>
      </c>
      <c r="H21" s="168"/>
      <c r="I21" s="169" t="n">
        <v>22</v>
      </c>
      <c r="J21" s="133"/>
      <c r="K21" s="133"/>
      <c r="L21" s="133"/>
      <c r="M21" s="19"/>
      <c r="N21" s="170" t="str">
        <f aca="false">DEC2HEX(N3)</f>
        <v>0</v>
      </c>
      <c r="O21" s="138"/>
      <c r="P21" s="138"/>
      <c r="Q21" s="138"/>
      <c r="R21" s="138"/>
      <c r="S21" s="138"/>
      <c r="T21" s="138"/>
      <c r="U21" s="138"/>
      <c r="V21" s="138"/>
      <c r="W21" s="138"/>
      <c r="X21" s="138"/>
      <c r="Y21" s="138"/>
      <c r="Z21" s="138"/>
      <c r="AA21" s="138"/>
      <c r="AN21" s="171"/>
      <c r="AP21" s="161" t="s">
        <v>395</v>
      </c>
      <c r="AQ21" s="161" t="s">
        <v>541</v>
      </c>
      <c r="AR21" s="149"/>
      <c r="AS21" s="149" t="s">
        <v>395</v>
      </c>
      <c r="AT21" s="149" t="s">
        <v>231</v>
      </c>
      <c r="AU21" s="149" t="n">
        <v>10</v>
      </c>
      <c r="AV21" s="149" t="n">
        <v>3</v>
      </c>
      <c r="AX21" s="161" t="s">
        <v>395</v>
      </c>
      <c r="AY21" s="161" t="s">
        <v>586</v>
      </c>
      <c r="AZ21" s="149" t="n">
        <v>10</v>
      </c>
      <c r="BA21" s="149" t="n">
        <v>4</v>
      </c>
      <c r="BC21" s="161" t="s">
        <v>395</v>
      </c>
      <c r="BD21" s="161" t="s">
        <v>586</v>
      </c>
      <c r="BE21" s="149" t="n">
        <v>10</v>
      </c>
      <c r="BF21" s="149" t="n">
        <v>5</v>
      </c>
    </row>
    <row collapsed="false" customFormat="false" customHeight="false" hidden="false" ht="33" outlineLevel="0" r="22">
      <c r="A22" s="24" t="s">
        <v>514</v>
      </c>
      <c r="B22" s="24" t="s">
        <v>515</v>
      </c>
      <c r="C22" s="166" t="str">
        <f aca="false">BIN2HEX(D4)</f>
        <v>0</v>
      </c>
      <c r="D22" s="166" t="s">
        <v>231</v>
      </c>
      <c r="E22" s="166" t="str">
        <f aca="false">BIN2HEX(H4)</f>
        <v>1</v>
      </c>
      <c r="F22" s="166" t="str">
        <f aca="false">BIN2HEX(J4)</f>
        <v>23</v>
      </c>
      <c r="G22" s="167" t="str">
        <f aca="false">DEC2HEX(K4)</f>
        <v>8000</v>
      </c>
      <c r="H22" s="168"/>
      <c r="I22" s="169" t="n">
        <v>600023</v>
      </c>
      <c r="J22" s="133"/>
      <c r="K22" s="133"/>
      <c r="L22" s="133"/>
      <c r="M22" s="19"/>
      <c r="N22" s="138" t="str">
        <f aca="false">DEC2HEX(N4)</f>
        <v>0</v>
      </c>
      <c r="O22" s="170" t="str">
        <f aca="false">DEC2HEX(O4)</f>
        <v>8000</v>
      </c>
      <c r="P22" s="138"/>
      <c r="Q22" s="138"/>
      <c r="R22" s="138"/>
      <c r="S22" s="138"/>
      <c r="T22" s="138"/>
      <c r="U22" s="138"/>
      <c r="V22" s="138"/>
      <c r="W22" s="138"/>
      <c r="X22" s="138"/>
      <c r="Y22" s="138"/>
      <c r="Z22" s="138"/>
      <c r="AA22" s="138"/>
      <c r="AE22" s="133"/>
      <c r="AF22" s="133"/>
      <c r="AG22" s="133"/>
      <c r="AH22" s="133"/>
    </row>
    <row collapsed="false" customFormat="false" customHeight="false" hidden="false" ht="33" outlineLevel="0" r="23">
      <c r="A23" s="24" t="s">
        <v>501</v>
      </c>
      <c r="B23" s="24" t="s">
        <v>518</v>
      </c>
      <c r="C23" s="166" t="str">
        <f aca="false">BIN2HEX(D5)</f>
        <v>0</v>
      </c>
      <c r="D23" s="166" t="e">
        <f aca="false">BIN2HEX(F5)</f>
        <v>#VALUE!</v>
      </c>
      <c r="E23" s="166" t="str">
        <f aca="false">BIN2HEX(H5)</f>
        <v>2</v>
      </c>
      <c r="F23" s="166" t="str">
        <f aca="false">BIN2HEX(J5)</f>
        <v>22</v>
      </c>
      <c r="G23" s="172" t="s">
        <v>587</v>
      </c>
      <c r="H23" s="168"/>
      <c r="I23" s="169" t="s">
        <v>527</v>
      </c>
      <c r="J23" s="133"/>
      <c r="K23" s="133"/>
      <c r="L23" s="133"/>
      <c r="M23" s="19"/>
      <c r="N23" s="138" t="str">
        <f aca="false">DEC2HEX(N5)</f>
        <v>0</v>
      </c>
      <c r="O23" s="138" t="str">
        <f aca="false">DEC2HEX(O5)</f>
        <v>8000</v>
      </c>
      <c r="P23" s="170" t="s">
        <v>587</v>
      </c>
      <c r="Q23" s="138"/>
      <c r="R23" s="138"/>
      <c r="S23" s="138"/>
      <c r="T23" s="138"/>
      <c r="U23" s="138"/>
      <c r="V23" s="138"/>
      <c r="W23" s="138"/>
      <c r="X23" s="138"/>
      <c r="Y23" s="138"/>
      <c r="Z23" s="138"/>
      <c r="AA23" s="138"/>
      <c r="AE23" s="133"/>
      <c r="AF23" s="133"/>
      <c r="AG23" s="133"/>
      <c r="AH23" s="133"/>
      <c r="AP23" s="133"/>
      <c r="AQ23" s="133"/>
      <c r="AR23" s="133"/>
      <c r="AS23" s="133"/>
      <c r="AT23" s="133"/>
      <c r="AU23" s="133"/>
      <c r="AV23" s="133"/>
      <c r="AW23" s="133"/>
      <c r="AX23" s="133"/>
      <c r="AY23" s="133"/>
      <c r="AZ23" s="133"/>
      <c r="BA23" s="133"/>
      <c r="BB23" s="133"/>
      <c r="BC23" s="133"/>
      <c r="BD23" s="133"/>
      <c r="BE23" s="133"/>
      <c r="BF23" s="133"/>
    </row>
    <row collapsed="false" customFormat="false" customHeight="false" hidden="false" ht="33" outlineLevel="0" r="24">
      <c r="A24" s="24" t="s">
        <v>23</v>
      </c>
      <c r="B24" s="24" t="s">
        <v>521</v>
      </c>
      <c r="C24" s="166" t="str">
        <f aca="false">BIN2HEX(D6)</f>
        <v>2</v>
      </c>
      <c r="D24" s="166" t="str">
        <f aca="false">BIN2HEX(F6)</f>
        <v>0</v>
      </c>
      <c r="E24" s="166" t="str">
        <f aca="false">BIN2HEX(H6)</f>
        <v>2</v>
      </c>
      <c r="F24" s="166" t="n">
        <v>280</v>
      </c>
      <c r="G24" s="167" t="s">
        <v>231</v>
      </c>
      <c r="H24" s="168"/>
      <c r="I24" s="169" t="n">
        <v>10040280</v>
      </c>
      <c r="J24" s="133"/>
      <c r="K24" s="133"/>
      <c r="L24" s="133"/>
      <c r="M24" s="19"/>
      <c r="N24" s="138" t="str">
        <f aca="false">DEC2HEX(N6)</f>
        <v>0</v>
      </c>
      <c r="O24" s="138" t="str">
        <f aca="false">DEC2HEX(O6)</f>
        <v>8000</v>
      </c>
      <c r="P24" s="170" t="str">
        <f aca="false">DEC2HEX(P6)</f>
        <v>100</v>
      </c>
      <c r="Q24" s="138"/>
      <c r="R24" s="138"/>
      <c r="S24" s="138"/>
      <c r="T24" s="138"/>
      <c r="U24" s="138"/>
      <c r="V24" s="138"/>
      <c r="W24" s="138"/>
      <c r="X24" s="138"/>
      <c r="Y24" s="138"/>
      <c r="Z24" s="138"/>
      <c r="AA24" s="138"/>
      <c r="AE24" s="133"/>
      <c r="AF24" s="133"/>
      <c r="AG24" s="133"/>
      <c r="AH24" s="133"/>
      <c r="AP24" s="133"/>
      <c r="AQ24" s="133"/>
      <c r="AR24" s="133"/>
      <c r="AS24" s="133"/>
      <c r="AT24" s="133"/>
      <c r="AU24" s="133"/>
      <c r="AV24" s="133"/>
      <c r="AW24" s="133"/>
      <c r="AX24" s="133"/>
      <c r="AY24" s="133"/>
      <c r="AZ24" s="133"/>
      <c r="BA24" s="133"/>
      <c r="BB24" s="133"/>
      <c r="BC24" s="133"/>
      <c r="BD24" s="133"/>
      <c r="BE24" s="133"/>
      <c r="BF24" s="133"/>
    </row>
    <row collapsed="false" customFormat="false" customHeight="false" hidden="false" ht="48.75" outlineLevel="0" r="25">
      <c r="A25" s="24" t="s">
        <v>11</v>
      </c>
      <c r="B25" s="24" t="s">
        <v>523</v>
      </c>
      <c r="C25" s="166" t="str">
        <f aca="false">BIN2HEX(D7)</f>
        <v>1</v>
      </c>
      <c r="D25" s="166" t="str">
        <f aca="false">BIN2HEX(F7)</f>
        <v>2</v>
      </c>
      <c r="E25" s="166" t="str">
        <f aca="false">BIN2HEX(H7)</f>
        <v>3</v>
      </c>
      <c r="F25" s="166" t="n">
        <v>40</v>
      </c>
      <c r="G25" s="167" t="s">
        <v>231</v>
      </c>
      <c r="H25" s="168"/>
      <c r="I25" s="169" t="n">
        <v>8860040</v>
      </c>
      <c r="J25" s="133"/>
      <c r="K25" s="133"/>
      <c r="L25" s="133"/>
      <c r="M25" s="19"/>
      <c r="N25" s="138" t="str">
        <f aca="false">DEC2HEX(N7)</f>
        <v>0</v>
      </c>
      <c r="O25" s="138" t="str">
        <f aca="false">DEC2HEX(O7)</f>
        <v>8000</v>
      </c>
      <c r="P25" s="138" t="str">
        <f aca="false">DEC2HEX(P7)</f>
        <v>100</v>
      </c>
      <c r="Q25" s="170" t="str">
        <f aca="false">DEC2HEX(Q7)</f>
        <v>8100</v>
      </c>
      <c r="R25" s="138"/>
      <c r="S25" s="138"/>
      <c r="T25" s="138"/>
      <c r="U25" s="138"/>
      <c r="V25" s="138"/>
      <c r="W25" s="138"/>
      <c r="X25" s="138"/>
      <c r="Y25" s="138"/>
      <c r="Z25" s="138"/>
      <c r="AA25" s="138"/>
      <c r="AE25" s="133"/>
      <c r="AF25" s="133"/>
      <c r="AG25" s="133"/>
      <c r="AH25" s="133"/>
      <c r="AP25" s="133"/>
      <c r="AQ25" s="133"/>
      <c r="AR25" s="133"/>
      <c r="AS25" s="133"/>
      <c r="AT25" s="133"/>
      <c r="AU25" s="133"/>
      <c r="AV25" s="133"/>
      <c r="AW25" s="133"/>
      <c r="AX25" s="133"/>
      <c r="AY25" s="133"/>
      <c r="AZ25" s="133"/>
      <c r="BA25" s="133"/>
      <c r="BB25" s="133"/>
      <c r="BC25" s="133"/>
      <c r="BD25" s="133"/>
      <c r="BE25" s="133"/>
      <c r="BF25" s="133"/>
    </row>
    <row collapsed="false" customFormat="false" customHeight="false" hidden="false" ht="48.75" outlineLevel="0" r="26">
      <c r="A26" s="24" t="s">
        <v>14</v>
      </c>
      <c r="B26" s="24" t="s">
        <v>526</v>
      </c>
      <c r="C26" s="166" t="str">
        <f aca="false">BIN2HEX(D8)</f>
        <v>3</v>
      </c>
      <c r="D26" s="166" t="str">
        <f aca="false">BIN2HEX(F8)</f>
        <v>2</v>
      </c>
      <c r="E26" s="166" t="str">
        <f aca="false">BIN2HEX(H8)</f>
        <v>4</v>
      </c>
      <c r="F26" s="166" t="n">
        <v>100</v>
      </c>
      <c r="G26" s="167" t="s">
        <v>231</v>
      </c>
      <c r="H26" s="168"/>
      <c r="I26" s="169" t="n">
        <v>18880100</v>
      </c>
      <c r="J26" s="133"/>
      <c r="K26" s="133"/>
      <c r="L26" s="133"/>
      <c r="M26" s="19"/>
      <c r="N26" s="138" t="str">
        <f aca="false">DEC2HEX(N8)</f>
        <v>0</v>
      </c>
      <c r="O26" s="138" t="str">
        <f aca="false">DEC2HEX(O8)</f>
        <v>8000</v>
      </c>
      <c r="P26" s="138" t="str">
        <f aca="false">DEC2HEX(P8)</f>
        <v>100</v>
      </c>
      <c r="Q26" s="138" t="str">
        <f aca="false">DEC2HEX(Q8)</f>
        <v>8100</v>
      </c>
      <c r="R26" s="170" t="str">
        <f aca="false">DEC2HEX(R8)</f>
        <v>8000</v>
      </c>
      <c r="S26" s="138"/>
      <c r="T26" s="138"/>
      <c r="U26" s="138"/>
      <c r="V26" s="138"/>
      <c r="W26" s="138"/>
      <c r="X26" s="138"/>
      <c r="Y26" s="138"/>
      <c r="Z26" s="138"/>
      <c r="AA26" s="138"/>
      <c r="AE26" s="133"/>
      <c r="AF26" s="133"/>
      <c r="AG26" s="133"/>
      <c r="AH26" s="133"/>
      <c r="AP26" s="133"/>
      <c r="AQ26" s="133"/>
      <c r="AR26" s="133"/>
      <c r="AS26" s="133"/>
      <c r="AT26" s="133"/>
      <c r="AU26" s="133"/>
      <c r="AV26" s="133"/>
      <c r="AW26" s="133"/>
      <c r="AX26" s="133"/>
      <c r="AY26" s="133"/>
      <c r="AZ26" s="133"/>
      <c r="BA26" s="133"/>
      <c r="BB26" s="133"/>
      <c r="BC26" s="133"/>
      <c r="BD26" s="133"/>
      <c r="BE26" s="133"/>
      <c r="BF26" s="133"/>
    </row>
    <row collapsed="false" customFormat="false" customHeight="false" hidden="false" ht="48.75" outlineLevel="0" r="27">
      <c r="A27" s="24" t="s">
        <v>17</v>
      </c>
      <c r="B27" s="24" t="s">
        <v>530</v>
      </c>
      <c r="C27" s="166" t="str">
        <f aca="false">BIN2HEX(D9)</f>
        <v>1</v>
      </c>
      <c r="D27" s="166" t="str">
        <f aca="false">BIN2HEX(F9)</f>
        <v>2</v>
      </c>
      <c r="E27" s="166" t="str">
        <f aca="false">BIN2HEX(H9)</f>
        <v>5</v>
      </c>
      <c r="F27" s="166" t="n">
        <v>200</v>
      </c>
      <c r="G27" s="167" t="s">
        <v>231</v>
      </c>
      <c r="H27" s="168"/>
      <c r="I27" s="169" t="s">
        <v>543</v>
      </c>
      <c r="J27" s="133"/>
      <c r="K27" s="133"/>
      <c r="L27" s="133"/>
      <c r="M27" s="19"/>
      <c r="N27" s="138" t="str">
        <f aca="false">DEC2HEX(N9)</f>
        <v>0</v>
      </c>
      <c r="O27" s="138" t="str">
        <f aca="false">DEC2HEX(O9)</f>
        <v>8000</v>
      </c>
      <c r="P27" s="138" t="str">
        <f aca="false">DEC2HEX(P9)</f>
        <v>100</v>
      </c>
      <c r="Q27" s="138" t="str">
        <f aca="false">DEC2HEX(Q9)</f>
        <v>8100</v>
      </c>
      <c r="R27" s="138" t="str">
        <f aca="false">DEC2HEX(R9)</f>
        <v>8000</v>
      </c>
      <c r="S27" s="170" t="str">
        <f aca="false">DEC2HEX(S9)</f>
        <v>0</v>
      </c>
      <c r="T27" s="138"/>
      <c r="U27" s="138"/>
      <c r="V27" s="138"/>
      <c r="W27" s="138"/>
      <c r="X27" s="138"/>
      <c r="Y27" s="138"/>
      <c r="Z27" s="138"/>
      <c r="AA27" s="138"/>
      <c r="AE27" s="133"/>
      <c r="AF27" s="133"/>
      <c r="AG27" s="133"/>
      <c r="AH27" s="133"/>
      <c r="AP27" s="133"/>
      <c r="AQ27" s="133"/>
      <c r="AR27" s="133"/>
      <c r="AS27" s="133"/>
      <c r="AT27" s="133"/>
      <c r="AU27" s="133"/>
      <c r="AV27" s="133"/>
      <c r="AW27" s="133"/>
      <c r="AX27" s="133"/>
      <c r="AY27" s="133"/>
      <c r="AZ27" s="133"/>
      <c r="BA27" s="133"/>
      <c r="BB27" s="133"/>
      <c r="BC27" s="133"/>
      <c r="BD27" s="133"/>
      <c r="BE27" s="133"/>
      <c r="BF27" s="133"/>
    </row>
    <row collapsed="false" customFormat="false" customHeight="false" hidden="false" ht="48.75" outlineLevel="0" r="28">
      <c r="A28" s="24" t="s">
        <v>20</v>
      </c>
      <c r="B28" s="24" t="s">
        <v>533</v>
      </c>
      <c r="C28" s="166" t="str">
        <f aca="false">BIN2HEX(D10)</f>
        <v>1</v>
      </c>
      <c r="D28" s="166" t="str">
        <f aca="false">BIN2HEX(F10)</f>
        <v>2</v>
      </c>
      <c r="E28" s="166" t="str">
        <f aca="false">BIN2HEX(H10)</f>
        <v>6</v>
      </c>
      <c r="F28" s="166" t="n">
        <v>240</v>
      </c>
      <c r="G28" s="167" t="s">
        <v>231</v>
      </c>
      <c r="H28" s="168"/>
      <c r="I28" s="169" t="s">
        <v>547</v>
      </c>
      <c r="J28" s="133"/>
      <c r="K28" s="133"/>
      <c r="L28" s="133"/>
      <c r="M28" s="19"/>
      <c r="N28" s="138" t="str">
        <f aca="false">DEC2HEX(N10)</f>
        <v>0</v>
      </c>
      <c r="O28" s="138" t="str">
        <f aca="false">DEC2HEX(O10)</f>
        <v>8000</v>
      </c>
      <c r="P28" s="138" t="str">
        <f aca="false">DEC2HEX(P10)</f>
        <v>100</v>
      </c>
      <c r="Q28" s="138" t="str">
        <f aca="false">DEC2HEX(Q10)</f>
        <v>8100</v>
      </c>
      <c r="R28" s="138" t="str">
        <f aca="false">DEC2HEX(R10)</f>
        <v>8000</v>
      </c>
      <c r="S28" s="138" t="str">
        <f aca="false">DEC2HEX(S10)</f>
        <v>0</v>
      </c>
      <c r="T28" s="170" t="str">
        <f aca="false">DEC2HEX(T10)</f>
        <v>8100</v>
      </c>
      <c r="U28" s="138"/>
      <c r="V28" s="138"/>
      <c r="W28" s="138"/>
      <c r="X28" s="138"/>
      <c r="Y28" s="138"/>
      <c r="Z28" s="138"/>
      <c r="AA28" s="138"/>
      <c r="AE28" s="133"/>
      <c r="AF28" s="133"/>
      <c r="AG28" s="133"/>
      <c r="AH28" s="133"/>
      <c r="AP28" s="133"/>
      <c r="AQ28" s="133"/>
      <c r="AR28" s="133"/>
      <c r="AS28" s="133"/>
      <c r="AT28" s="133"/>
      <c r="AU28" s="133"/>
      <c r="AV28" s="133"/>
      <c r="AW28" s="133"/>
      <c r="AX28" s="133"/>
      <c r="AY28" s="133"/>
      <c r="AZ28" s="133"/>
      <c r="BA28" s="133"/>
      <c r="BB28" s="133"/>
      <c r="BC28" s="133"/>
      <c r="BD28" s="133"/>
      <c r="BE28" s="133"/>
      <c r="BF28" s="133"/>
    </row>
    <row collapsed="false" customFormat="false" customHeight="false" hidden="false" ht="48.75" outlineLevel="0" r="29">
      <c r="A29" s="24" t="s">
        <v>26</v>
      </c>
      <c r="B29" s="24" t="s">
        <v>537</v>
      </c>
      <c r="C29" s="166" t="str">
        <f aca="false">BIN2HEX(D11)</f>
        <v>1</v>
      </c>
      <c r="D29" s="166" t="str">
        <f aca="false">BIN2HEX(F11)</f>
        <v>2</v>
      </c>
      <c r="E29" s="166" t="str">
        <f aca="false">BIN2HEX(H11)</f>
        <v>7</v>
      </c>
      <c r="F29" s="166" t="s">
        <v>588</v>
      </c>
      <c r="G29" s="167" t="s">
        <v>231</v>
      </c>
      <c r="H29" s="168"/>
      <c r="I29" s="169" t="s">
        <v>551</v>
      </c>
      <c r="J29" s="133"/>
      <c r="K29" s="133"/>
      <c r="L29" s="133"/>
      <c r="M29" s="19"/>
      <c r="N29" s="138" t="str">
        <f aca="false">DEC2HEX(N11)</f>
        <v>0</v>
      </c>
      <c r="O29" s="138" t="str">
        <f aca="false">DEC2HEX(O11)</f>
        <v>8000</v>
      </c>
      <c r="P29" s="138" t="str">
        <f aca="false">DEC2HEX(P11)</f>
        <v>100</v>
      </c>
      <c r="Q29" s="138" t="str">
        <f aca="false">DEC2HEX(Q11)</f>
        <v>8100</v>
      </c>
      <c r="R29" s="138" t="str">
        <f aca="false">DEC2HEX(R11)</f>
        <v>8000</v>
      </c>
      <c r="S29" s="138" t="str">
        <f aca="false">DEC2HEX(S11)</f>
        <v>0</v>
      </c>
      <c r="T29" s="138" t="str">
        <f aca="false">DEC2HEX(T11)</f>
        <v>8100</v>
      </c>
      <c r="U29" s="170" t="str">
        <f aca="false">DEC2HEX(U11)</f>
        <v>8100</v>
      </c>
      <c r="V29" s="138"/>
      <c r="W29" s="138"/>
      <c r="X29" s="138"/>
      <c r="Y29" s="138"/>
      <c r="Z29" s="138"/>
      <c r="AA29" s="138"/>
      <c r="AE29" s="133"/>
      <c r="AF29" s="133"/>
      <c r="AG29" s="133"/>
      <c r="AH29" s="133"/>
      <c r="AP29" s="133"/>
      <c r="AQ29" s="133"/>
      <c r="AR29" s="133"/>
      <c r="AS29" s="133"/>
      <c r="AT29" s="133"/>
      <c r="AU29" s="133"/>
      <c r="AV29" s="133"/>
      <c r="AW29" s="133"/>
      <c r="AX29" s="133"/>
      <c r="AY29" s="133"/>
      <c r="AZ29" s="133"/>
      <c r="BA29" s="133"/>
      <c r="BB29" s="133"/>
      <c r="BC29" s="133"/>
      <c r="BD29" s="133"/>
      <c r="BE29" s="133"/>
      <c r="BF29" s="133"/>
    </row>
    <row collapsed="false" customFormat="false" customHeight="false" hidden="false" ht="33" outlineLevel="0" r="30">
      <c r="A30" s="24" t="s">
        <v>29</v>
      </c>
      <c r="B30" s="24" t="s">
        <v>542</v>
      </c>
      <c r="C30" s="166" t="str">
        <f aca="false">BIN2HEX(D12)</f>
        <v>2</v>
      </c>
      <c r="D30" s="166" t="str">
        <f aca="false">BIN2HEX(F12)</f>
        <v>0</v>
      </c>
      <c r="E30" s="166" t="str">
        <f aca="false">BIN2HEX(H12)</f>
        <v>8</v>
      </c>
      <c r="F30" s="166" t="n">
        <v>300</v>
      </c>
      <c r="G30" s="167" t="s">
        <v>231</v>
      </c>
      <c r="H30" s="168"/>
      <c r="I30" s="169" t="n">
        <v>10100300</v>
      </c>
      <c r="J30" s="133"/>
      <c r="K30" s="133"/>
      <c r="L30" s="133"/>
      <c r="M30" s="19"/>
      <c r="N30" s="138" t="str">
        <f aca="false">DEC2HEX(N12)</f>
        <v>0</v>
      </c>
      <c r="O30" s="138" t="str">
        <f aca="false">DEC2HEX(O12)</f>
        <v>8000</v>
      </c>
      <c r="P30" s="138" t="str">
        <f aca="false">DEC2HEX(P12)</f>
        <v>100</v>
      </c>
      <c r="Q30" s="138" t="str">
        <f aca="false">DEC2HEX(Q12)</f>
        <v>8100</v>
      </c>
      <c r="R30" s="138" t="str">
        <f aca="false">DEC2HEX(R12)</f>
        <v>8000</v>
      </c>
      <c r="S30" s="138" t="str">
        <f aca="false">DEC2HEX(S12)</f>
        <v>0</v>
      </c>
      <c r="T30" s="138" t="str">
        <f aca="false">DEC2HEX(T12)</f>
        <v>8100</v>
      </c>
      <c r="U30" s="138" t="str">
        <f aca="false">DEC2HEX(U12)</f>
        <v>8100</v>
      </c>
      <c r="V30" s="170" t="str">
        <f aca="false">DEC2HEX(V12)</f>
        <v>FEFF</v>
      </c>
      <c r="W30" s="138"/>
      <c r="X30" s="138"/>
      <c r="Y30" s="138"/>
      <c r="Z30" s="138"/>
      <c r="AA30" s="138"/>
      <c r="AE30" s="133"/>
      <c r="AF30" s="133"/>
      <c r="AG30" s="133"/>
      <c r="AH30" s="133"/>
      <c r="AP30" s="133"/>
      <c r="AQ30" s="133"/>
      <c r="AR30" s="133"/>
      <c r="AS30" s="133"/>
      <c r="AT30" s="133"/>
      <c r="AU30" s="133"/>
      <c r="AV30" s="133"/>
      <c r="AW30" s="133"/>
      <c r="AX30" s="133"/>
      <c r="AY30" s="133"/>
      <c r="AZ30" s="133"/>
      <c r="BA30" s="133"/>
      <c r="BB30" s="133"/>
      <c r="BC30" s="133"/>
      <c r="BD30" s="133"/>
      <c r="BE30" s="133"/>
      <c r="BF30" s="133"/>
    </row>
    <row collapsed="false" customFormat="false" customHeight="false" hidden="false" ht="96" outlineLevel="0" r="31">
      <c r="A31" s="24" t="s">
        <v>34</v>
      </c>
      <c r="B31" s="24" t="s">
        <v>546</v>
      </c>
      <c r="C31" s="166" t="str">
        <f aca="false">BIN2HEX(D13)</f>
        <v>2</v>
      </c>
      <c r="D31" s="166" t="str">
        <f aca="false">BIN2HEX(F13)</f>
        <v>0</v>
      </c>
      <c r="E31" s="166" t="str">
        <f aca="false">BIN2HEX(H13)</f>
        <v>9</v>
      </c>
      <c r="F31" s="166" t="n">
        <v>400</v>
      </c>
      <c r="G31" s="167" t="s">
        <v>231</v>
      </c>
      <c r="H31" s="168"/>
      <c r="I31" s="169" t="n">
        <v>10120400</v>
      </c>
      <c r="J31" s="133"/>
      <c r="K31" s="133"/>
      <c r="L31" s="133"/>
      <c r="M31" s="19"/>
      <c r="N31" s="138" t="str">
        <f aca="false">DEC2HEX(N13)</f>
        <v>0</v>
      </c>
      <c r="O31" s="138" t="str">
        <f aca="false">DEC2HEX(O13)</f>
        <v>8000</v>
      </c>
      <c r="P31" s="138" t="str">
        <f aca="false">DEC2HEX(P13)</f>
        <v>100</v>
      </c>
      <c r="Q31" s="138" t="str">
        <f aca="false">DEC2HEX(Q13)</f>
        <v>8100</v>
      </c>
      <c r="R31" s="138" t="str">
        <f aca="false">DEC2HEX(R13)</f>
        <v>8000</v>
      </c>
      <c r="S31" s="138" t="str">
        <f aca="false">DEC2HEX(S13)</f>
        <v>0</v>
      </c>
      <c r="T31" s="138" t="str">
        <f aca="false">DEC2HEX(T13)</f>
        <v>8100</v>
      </c>
      <c r="U31" s="138" t="str">
        <f aca="false">DEC2HEX(U13)</f>
        <v>8100</v>
      </c>
      <c r="V31" s="138" t="str">
        <f aca="false">V30</f>
        <v>FEFF</v>
      </c>
      <c r="W31" s="170" t="str">
        <f aca="false">DEC2HEX(W13)</f>
        <v>80</v>
      </c>
      <c r="X31" s="138"/>
      <c r="Y31" s="138"/>
      <c r="Z31" s="138"/>
      <c r="AA31" s="138"/>
      <c r="AE31" s="133"/>
      <c r="AF31" s="133"/>
      <c r="AG31" s="133"/>
      <c r="AH31" s="133"/>
      <c r="AP31" s="133"/>
      <c r="AQ31" s="133"/>
      <c r="AR31" s="133"/>
      <c r="AS31" s="133"/>
      <c r="AT31" s="133"/>
      <c r="AU31" s="133"/>
      <c r="AV31" s="133"/>
      <c r="AW31" s="133"/>
      <c r="AX31" s="133"/>
      <c r="AY31" s="133"/>
      <c r="AZ31" s="133"/>
      <c r="BA31" s="133"/>
      <c r="BB31" s="133"/>
      <c r="BC31" s="133"/>
      <c r="BD31" s="133"/>
      <c r="BE31" s="133"/>
      <c r="BF31" s="133"/>
    </row>
    <row collapsed="false" customFormat="false" customHeight="false" hidden="false" ht="48.75" outlineLevel="0" r="32">
      <c r="A32" s="24" t="s">
        <v>38</v>
      </c>
      <c r="B32" s="24" t="s">
        <v>550</v>
      </c>
      <c r="C32" s="166" t="str">
        <f aca="false">BIN2HEX(D14)</f>
        <v>3</v>
      </c>
      <c r="D32" s="166" t="str">
        <f aca="false">BIN2HEX(F14)</f>
        <v>0</v>
      </c>
      <c r="E32" s="166" t="str">
        <f aca="false">BIN2HEX(H14)</f>
        <v>A</v>
      </c>
      <c r="F32" s="166" t="n">
        <v>440</v>
      </c>
      <c r="G32" s="167" t="s">
        <v>231</v>
      </c>
      <c r="H32" s="168"/>
      <c r="I32" s="169" t="n">
        <v>18140440</v>
      </c>
      <c r="J32" s="133"/>
      <c r="K32" s="133"/>
      <c r="L32" s="133"/>
      <c r="M32" s="19"/>
      <c r="N32" s="138" t="str">
        <f aca="false">DEC2HEX(N14)</f>
        <v>0</v>
      </c>
      <c r="O32" s="138" t="str">
        <f aca="false">DEC2HEX(O14)</f>
        <v>8000</v>
      </c>
      <c r="P32" s="138" t="str">
        <f aca="false">DEC2HEX(P14)</f>
        <v>100</v>
      </c>
      <c r="Q32" s="138" t="str">
        <f aca="false">DEC2HEX(Q14)</f>
        <v>8100</v>
      </c>
      <c r="R32" s="138" t="str">
        <f aca="false">DEC2HEX(R14)</f>
        <v>8000</v>
      </c>
      <c r="S32" s="138" t="str">
        <f aca="false">DEC2HEX(S14)</f>
        <v>0</v>
      </c>
      <c r="T32" s="138" t="str">
        <f aca="false">DEC2HEX(T14)</f>
        <v>8100</v>
      </c>
      <c r="U32" s="138" t="str">
        <f aca="false">DEC2HEX(U14)</f>
        <v>8100</v>
      </c>
      <c r="V32" s="138" t="str">
        <f aca="false">V31</f>
        <v>FEFF</v>
      </c>
      <c r="W32" s="138" t="str">
        <f aca="false">W31</f>
        <v>80</v>
      </c>
      <c r="X32" s="170" t="str">
        <f aca="false">DEC2HEX(X14)</f>
        <v>4080</v>
      </c>
      <c r="Y32" s="138"/>
      <c r="Z32" s="138"/>
      <c r="AA32" s="138"/>
      <c r="AE32" s="133"/>
      <c r="AF32" s="133"/>
      <c r="AG32" s="133"/>
      <c r="AH32" s="133"/>
      <c r="AP32" s="133"/>
      <c r="AQ32" s="133"/>
      <c r="AR32" s="133"/>
      <c r="AS32" s="133"/>
      <c r="AT32" s="133"/>
      <c r="AU32" s="133"/>
      <c r="AV32" s="133"/>
      <c r="AW32" s="133"/>
      <c r="AX32" s="133"/>
      <c r="AY32" s="133"/>
      <c r="AZ32" s="133"/>
      <c r="BA32" s="133"/>
      <c r="BB32" s="133"/>
      <c r="BC32" s="133"/>
      <c r="BD32" s="133"/>
      <c r="BE32" s="133"/>
      <c r="BF32" s="133"/>
    </row>
    <row collapsed="false" customFormat="false" customHeight="false" hidden="false" ht="96" outlineLevel="0" r="33">
      <c r="A33" s="16" t="s">
        <v>554</v>
      </c>
      <c r="B33" s="24" t="s">
        <v>555</v>
      </c>
      <c r="C33" s="166" t="str">
        <f aca="false">BIN2HEX(D15)</f>
        <v>4</v>
      </c>
      <c r="D33" s="166" t="str">
        <f aca="false">BIN2HEX(F15)</f>
        <v>0</v>
      </c>
      <c r="E33" s="166" t="str">
        <f aca="false">BIN2HEX(H15)</f>
        <v>B</v>
      </c>
      <c r="F33" s="166" t="s">
        <v>589</v>
      </c>
      <c r="G33" s="167" t="s">
        <v>231</v>
      </c>
      <c r="H33" s="168"/>
      <c r="I33" s="169" t="s">
        <v>570</v>
      </c>
      <c r="J33" s="133"/>
      <c r="K33" s="133"/>
      <c r="L33" s="133"/>
      <c r="M33" s="19"/>
      <c r="N33" s="138" t="str">
        <f aca="false">DEC2HEX(N15)</f>
        <v>0</v>
      </c>
      <c r="O33" s="138" t="str">
        <f aca="false">DEC2HEX(O15)</f>
        <v>8000</v>
      </c>
      <c r="P33" s="138" t="str">
        <f aca="false">DEC2HEX(P15)</f>
        <v>100</v>
      </c>
      <c r="Q33" s="138" t="str">
        <f aca="false">DEC2HEX(Q15)</f>
        <v>8100</v>
      </c>
      <c r="R33" s="138" t="str">
        <f aca="false">DEC2HEX(R15)</f>
        <v>8000</v>
      </c>
      <c r="S33" s="138" t="str">
        <f aca="false">DEC2HEX(S15)</f>
        <v>0</v>
      </c>
      <c r="T33" s="138" t="str">
        <f aca="false">DEC2HEX(T15)</f>
        <v>8100</v>
      </c>
      <c r="U33" s="138" t="str">
        <f aca="false">DEC2HEX(U15)</f>
        <v>8100</v>
      </c>
      <c r="V33" s="138" t="str">
        <f aca="false">V32</f>
        <v>FEFF</v>
      </c>
      <c r="W33" s="138" t="str">
        <f aca="false">W32</f>
        <v>80</v>
      </c>
      <c r="X33" s="138" t="str">
        <f aca="false">X32</f>
        <v>4080</v>
      </c>
      <c r="Y33" s="170" t="str">
        <f aca="false">DEC2HEX(Y15)</f>
        <v>10000</v>
      </c>
      <c r="Z33" s="138"/>
      <c r="AA33" s="138"/>
      <c r="AE33" s="133"/>
      <c r="AF33" s="133"/>
      <c r="AG33" s="133"/>
      <c r="AH33" s="133"/>
      <c r="AP33" s="133"/>
      <c r="AQ33" s="133"/>
      <c r="AR33" s="133"/>
      <c r="AS33" s="133"/>
      <c r="AT33" s="133"/>
      <c r="AU33" s="133"/>
      <c r="AV33" s="133"/>
      <c r="AW33" s="133"/>
      <c r="AX33" s="133"/>
      <c r="AY33" s="133"/>
      <c r="AZ33" s="133"/>
      <c r="BA33" s="133"/>
      <c r="BB33" s="133"/>
      <c r="BC33" s="133"/>
      <c r="BD33" s="133"/>
      <c r="BE33" s="133"/>
      <c r="BF33" s="133"/>
    </row>
    <row collapsed="false" customFormat="false" customHeight="false" hidden="false" ht="111.75" outlineLevel="0" r="34">
      <c r="A34" s="24" t="s">
        <v>48</v>
      </c>
      <c r="B34" s="24" t="s">
        <v>559</v>
      </c>
      <c r="C34" s="166" t="str">
        <f aca="false">BIN2HEX(D16)</f>
        <v>5</v>
      </c>
      <c r="D34" s="166" t="str">
        <f aca="false">BIN2HEX(F16)</f>
        <v>0</v>
      </c>
      <c r="E34" s="166" t="str">
        <f aca="false">BIN2HEX(H16)</f>
        <v>C</v>
      </c>
      <c r="F34" s="166" t="n">
        <v>640</v>
      </c>
      <c r="G34" s="167" t="s">
        <v>231</v>
      </c>
      <c r="H34" s="168"/>
      <c r="I34" s="169" t="n">
        <v>28180640</v>
      </c>
      <c r="J34" s="133"/>
      <c r="K34" s="133"/>
      <c r="L34" s="133"/>
      <c r="M34" s="19"/>
      <c r="N34" s="138" t="str">
        <f aca="false">DEC2HEX(N16)</f>
        <v>0</v>
      </c>
      <c r="O34" s="138" t="str">
        <f aca="false">DEC2HEX(O16)</f>
        <v>8000</v>
      </c>
      <c r="P34" s="138" t="str">
        <f aca="false">DEC2HEX(P16)</f>
        <v>100</v>
      </c>
      <c r="Q34" s="138" t="str">
        <f aca="false">DEC2HEX(Q16)</f>
        <v>8100</v>
      </c>
      <c r="R34" s="138" t="str">
        <f aca="false">DEC2HEX(R16)</f>
        <v>8000</v>
      </c>
      <c r="S34" s="138" t="str">
        <f aca="false">DEC2HEX(S16)</f>
        <v>0</v>
      </c>
      <c r="T34" s="138" t="str">
        <f aca="false">DEC2HEX(T16)</f>
        <v>8100</v>
      </c>
      <c r="U34" s="138" t="str">
        <f aca="false">DEC2HEX(U16)</f>
        <v>8100</v>
      </c>
      <c r="V34" s="138" t="str">
        <f aca="false">V33</f>
        <v>FEFF</v>
      </c>
      <c r="W34" s="138" t="str">
        <f aca="false">W33</f>
        <v>80</v>
      </c>
      <c r="X34" s="138" t="str">
        <f aca="false">X33</f>
        <v>4080</v>
      </c>
      <c r="Y34" s="138" t="str">
        <f aca="false">DEC2HEX(Y16)</f>
        <v>10000</v>
      </c>
      <c r="Z34" s="145" t="str">
        <f aca="false">""&amp;DEC2HEX(A63)&amp;"|"&amp;DEC2HEX(A65)&amp;""</f>
        <v>0|40000000</v>
      </c>
      <c r="AA34" s="138"/>
      <c r="AE34" s="133"/>
      <c r="AF34" s="133"/>
      <c r="AG34" s="133"/>
      <c r="AH34" s="133"/>
      <c r="AP34" s="133"/>
      <c r="AQ34" s="133"/>
      <c r="AR34" s="133"/>
      <c r="AS34" s="133"/>
      <c r="AT34" s="133"/>
      <c r="AU34" s="133"/>
      <c r="AV34" s="133"/>
      <c r="AW34" s="133"/>
      <c r="AX34" s="133"/>
      <c r="AY34" s="133"/>
      <c r="AZ34" s="133"/>
      <c r="BA34" s="133"/>
      <c r="BB34" s="133"/>
      <c r="BC34" s="133"/>
      <c r="BD34" s="133"/>
      <c r="BE34" s="133"/>
      <c r="BF34" s="133"/>
    </row>
    <row collapsed="false" customFormat="false" customHeight="false" hidden="false" ht="111.75" outlineLevel="0" r="35">
      <c r="A35" s="24" t="s">
        <v>52</v>
      </c>
      <c r="B35" s="24" t="s">
        <v>564</v>
      </c>
      <c r="C35" s="166" t="str">
        <f aca="false">BIN2HEX(D17)</f>
        <v>6</v>
      </c>
      <c r="D35" s="166" t="str">
        <f aca="false">BIN2HEX(F17)</f>
        <v>0</v>
      </c>
      <c r="E35" s="166" t="str">
        <f aca="false">BIN2HEX(H17)</f>
        <v>D</v>
      </c>
      <c r="F35" s="166" t="n">
        <v>680</v>
      </c>
      <c r="G35" s="167" t="s">
        <v>231</v>
      </c>
      <c r="H35" s="168"/>
      <c r="I35" s="169" t="s">
        <v>583</v>
      </c>
      <c r="J35" s="133"/>
      <c r="K35" s="133"/>
      <c r="L35" s="133"/>
      <c r="M35" s="19"/>
      <c r="N35" s="138" t="str">
        <f aca="false">DEC2HEX(N17)</f>
        <v>0</v>
      </c>
      <c r="O35" s="138" t="str">
        <f aca="false">DEC2HEX(O17)</f>
        <v>8000</v>
      </c>
      <c r="P35" s="138" t="str">
        <f aca="false">DEC2HEX(P17)</f>
        <v>100</v>
      </c>
      <c r="Q35" s="138" t="str">
        <f aca="false">DEC2HEX(Q17)</f>
        <v>8100</v>
      </c>
      <c r="R35" s="138" t="str">
        <f aca="false">DEC2HEX(R17)</f>
        <v>8000</v>
      </c>
      <c r="S35" s="138" t="str">
        <f aca="false">DEC2HEX(S17)</f>
        <v>0</v>
      </c>
      <c r="T35" s="138" t="str">
        <f aca="false">DEC2HEX(T17)</f>
        <v>8100</v>
      </c>
      <c r="U35" s="138" t="str">
        <f aca="false">DEC2HEX(U17)</f>
        <v>8100</v>
      </c>
      <c r="V35" s="138" t="str">
        <f aca="false">V34</f>
        <v>FEFF</v>
      </c>
      <c r="W35" s="138" t="str">
        <f aca="false">W34</f>
        <v>80</v>
      </c>
      <c r="X35" s="138" t="str">
        <f aca="false">X34</f>
        <v>4080</v>
      </c>
      <c r="Y35" s="138" t="str">
        <f aca="false">DEC2HEX(Y17)</f>
        <v>10000</v>
      </c>
      <c r="Z35" s="138" t="str">
        <f aca="false">Z34</f>
        <v>0|40000000</v>
      </c>
      <c r="AA35" s="145" t="str">
        <f aca="false">""&amp;DEC2HEX(A59)&amp;"|"&amp;DEC2HEX(A61)&amp;""</f>
        <v>10200|10201</v>
      </c>
      <c r="AE35" s="133"/>
      <c r="AF35" s="133"/>
      <c r="AG35" s="133"/>
      <c r="AH35" s="133"/>
      <c r="AP35" s="133"/>
      <c r="AQ35" s="133"/>
      <c r="AR35" s="133"/>
      <c r="AS35" s="133"/>
      <c r="AT35" s="133"/>
      <c r="AU35" s="133"/>
      <c r="AV35" s="133"/>
      <c r="AW35" s="133"/>
      <c r="AX35" s="133"/>
      <c r="AY35" s="133"/>
      <c r="AZ35" s="133"/>
      <c r="BA35" s="133"/>
      <c r="BB35" s="133"/>
      <c r="BC35" s="133"/>
      <c r="BD35" s="133"/>
      <c r="BE35" s="133"/>
      <c r="BF35" s="133"/>
    </row>
    <row collapsed="false" customFormat="true" customHeight="false" hidden="false" ht="16.5" outlineLevel="0" r="36" s="19">
      <c r="E36" s="135"/>
      <c r="F36" s="135"/>
      <c r="K36" s="135"/>
      <c r="AE36" s="133"/>
      <c r="AF36" s="133"/>
      <c r="AG36" s="133"/>
      <c r="AH36" s="133"/>
      <c r="AP36" s="133"/>
      <c r="AQ36" s="133"/>
      <c r="AR36" s="133"/>
      <c r="AS36" s="133"/>
      <c r="AT36" s="133"/>
      <c r="AU36" s="133"/>
      <c r="AV36" s="133"/>
      <c r="AW36" s="133"/>
      <c r="AX36" s="133"/>
      <c r="AY36" s="133"/>
      <c r="AZ36" s="133"/>
      <c r="BA36" s="133"/>
      <c r="BB36" s="133"/>
      <c r="BC36" s="133"/>
      <c r="BD36" s="133"/>
      <c r="BE36" s="133"/>
      <c r="BF36" s="133"/>
      <c r="AMJ36" s="133"/>
    </row>
    <row collapsed="false" customFormat="false" customHeight="false" hidden="false" ht="15.75" outlineLevel="0" r="37">
      <c r="AE37" s="133"/>
      <c r="AF37" s="133"/>
      <c r="AG37" s="133"/>
      <c r="AH37" s="133"/>
      <c r="AP37" s="133"/>
      <c r="AQ37" s="133"/>
      <c r="AR37" s="133"/>
      <c r="AS37" s="133"/>
      <c r="AT37" s="133"/>
      <c r="AU37" s="133"/>
      <c r="AV37" s="133"/>
      <c r="AW37" s="133"/>
      <c r="AX37" s="133"/>
      <c r="AY37" s="133"/>
      <c r="AZ37" s="133"/>
      <c r="BA37" s="133"/>
      <c r="BB37" s="133"/>
      <c r="BC37" s="133"/>
      <c r="BD37" s="133"/>
      <c r="BE37" s="133"/>
      <c r="BF37" s="133"/>
    </row>
    <row collapsed="false" customFormat="false" customHeight="false" hidden="false" ht="15.75" outlineLevel="0" r="38">
      <c r="L38" s="133"/>
      <c r="AE38" s="133"/>
      <c r="AF38" s="133"/>
      <c r="AG38" s="133"/>
      <c r="AH38" s="133"/>
      <c r="AL38" s="133"/>
      <c r="AP38" s="133"/>
      <c r="AQ38" s="133"/>
      <c r="AR38" s="133"/>
      <c r="AS38" s="133"/>
      <c r="AT38" s="133"/>
      <c r="AU38" s="133"/>
      <c r="AV38" s="133"/>
      <c r="AW38" s="133"/>
      <c r="AX38" s="133"/>
      <c r="AY38" s="133"/>
      <c r="AZ38" s="133"/>
      <c r="BA38" s="133"/>
      <c r="BB38" s="133"/>
      <c r="BC38" s="133"/>
      <c r="BD38" s="133"/>
      <c r="BE38" s="133"/>
      <c r="BF38" s="133"/>
    </row>
    <row collapsed="false" customFormat="false" customHeight="false" hidden="false" ht="15.75" outlineLevel="0" r="39">
      <c r="AE39" s="133"/>
      <c r="AF39" s="133"/>
      <c r="AG39" s="133"/>
      <c r="AH39" s="133"/>
      <c r="AL39" s="133"/>
      <c r="AP39" s="133"/>
      <c r="AQ39" s="133"/>
      <c r="AR39" s="133"/>
      <c r="AS39" s="133"/>
      <c r="AT39" s="133"/>
      <c r="AU39" s="133"/>
      <c r="AV39" s="133"/>
      <c r="AW39" s="133"/>
      <c r="AX39" s="133"/>
      <c r="AY39" s="133"/>
      <c r="AZ39" s="133"/>
      <c r="BA39" s="133"/>
      <c r="BB39" s="133"/>
      <c r="BC39" s="133"/>
      <c r="BD39" s="133"/>
      <c r="BE39" s="133"/>
      <c r="BF39" s="133"/>
    </row>
    <row collapsed="false" customFormat="false" customHeight="false" hidden="false" ht="15.75" outlineLevel="0" r="40">
      <c r="A40" s="173" t="n">
        <v>0</v>
      </c>
      <c r="B40" s="173" t="s">
        <v>590</v>
      </c>
      <c r="AL40" s="133"/>
      <c r="AP40" s="133"/>
      <c r="AQ40" s="133"/>
      <c r="AR40" s="133"/>
      <c r="AS40" s="133"/>
      <c r="AT40" s="133"/>
      <c r="AU40" s="133"/>
      <c r="AV40" s="133"/>
      <c r="AW40" s="133"/>
      <c r="AX40" s="133"/>
      <c r="AY40" s="133"/>
      <c r="AZ40" s="133"/>
      <c r="BA40" s="133"/>
      <c r="BB40" s="133"/>
      <c r="BC40" s="133"/>
      <c r="BD40" s="133"/>
      <c r="BE40" s="133"/>
      <c r="BF40" s="133"/>
    </row>
    <row collapsed="false" customFormat="false" customHeight="false" hidden="false" ht="15.75" outlineLevel="0" r="41">
      <c r="A41" s="174" t="n">
        <v>32768</v>
      </c>
      <c r="B41" s="173" t="s">
        <v>591</v>
      </c>
      <c r="AL41" s="133"/>
      <c r="AP41" s="133"/>
      <c r="AQ41" s="133"/>
      <c r="AR41" s="133"/>
      <c r="AS41" s="133"/>
      <c r="AT41" s="133"/>
      <c r="AU41" s="133"/>
      <c r="AV41" s="133"/>
      <c r="AW41" s="133"/>
      <c r="AX41" s="133"/>
      <c r="AY41" s="133"/>
      <c r="AZ41" s="133"/>
      <c r="BA41" s="133"/>
      <c r="BB41" s="133"/>
      <c r="BC41" s="133"/>
      <c r="BD41" s="133"/>
      <c r="BE41" s="133"/>
      <c r="BF41" s="133"/>
    </row>
    <row collapsed="false" customFormat="false" customHeight="false" hidden="false" ht="15.75" outlineLevel="0" r="42">
      <c r="A42" s="174" t="n">
        <v>-256</v>
      </c>
      <c r="B42" s="173" t="s">
        <v>592</v>
      </c>
      <c r="AL42" s="133"/>
    </row>
    <row collapsed="false" customFormat="false" customHeight="false" hidden="false" ht="15.75" outlineLevel="0" r="43">
      <c r="A43" s="174" t="n">
        <v>256</v>
      </c>
      <c r="B43" s="173" t="s">
        <v>593</v>
      </c>
      <c r="AL43" s="133"/>
    </row>
    <row collapsed="false" customFormat="false" customHeight="false" hidden="false" ht="15.75" outlineLevel="0" r="44">
      <c r="A44" s="149"/>
      <c r="B44" s="149"/>
      <c r="AL44" s="133"/>
    </row>
    <row collapsed="false" customFormat="false" customHeight="false" hidden="false" ht="15.75" outlineLevel="0" r="45">
      <c r="A45" s="175" t="n">
        <v>256</v>
      </c>
      <c r="B45" s="149" t="s">
        <v>594</v>
      </c>
      <c r="AL45" s="133"/>
    </row>
    <row collapsed="false" customFormat="false" customHeight="false" hidden="false" ht="15.75" outlineLevel="0" r="46">
      <c r="A46" s="175" t="s">
        <v>34</v>
      </c>
      <c r="B46" s="149" t="s">
        <v>595</v>
      </c>
      <c r="AL46" s="133"/>
    </row>
    <row collapsed="false" customFormat="false" customHeight="false" hidden="false" ht="15.75" outlineLevel="0" r="47">
      <c r="A47" s="149" t="n">
        <v>128</v>
      </c>
      <c r="B47" s="176" t="str">
        <f aca="false">SUBSTITUTE(B46,"_","")</f>
        <v>00000000000000000000000010000000</v>
      </c>
      <c r="AL47" s="133"/>
    </row>
    <row collapsed="false" customFormat="false" customHeight="false" hidden="false" ht="15.75" outlineLevel="0" r="48">
      <c r="A48" s="149"/>
      <c r="B48" s="176"/>
      <c r="AL48" s="133"/>
    </row>
    <row collapsed="false" customFormat="false" customHeight="false" hidden="false" ht="15.75" outlineLevel="0" r="49">
      <c r="A49" s="173" t="n">
        <f aca="false">Q7</f>
        <v>33024</v>
      </c>
      <c r="B49" s="173" t="s">
        <v>596</v>
      </c>
      <c r="AL49" s="133"/>
    </row>
    <row collapsed="false" customFormat="false" customHeight="false" hidden="false" ht="15.75" outlineLevel="0" r="50">
      <c r="A50" s="173" t="s">
        <v>38</v>
      </c>
      <c r="B50" s="173" t="s">
        <v>597</v>
      </c>
      <c r="AL50" s="133"/>
    </row>
    <row collapsed="false" customFormat="false" customHeight="false" hidden="false" ht="15.75" outlineLevel="0" r="51">
      <c r="A51" s="173" t="n">
        <v>16512</v>
      </c>
      <c r="B51" s="174" t="str">
        <f aca="false">SUBSTITUTE(B50,"_","")</f>
        <v>00000000000000000100000010000000</v>
      </c>
      <c r="AL51" s="133"/>
    </row>
    <row collapsed="false" customFormat="false" customHeight="false" hidden="false" ht="15.75" outlineLevel="0" r="52">
      <c r="A52" s="149"/>
      <c r="B52" s="149"/>
      <c r="AL52" s="133"/>
    </row>
    <row collapsed="false" customFormat="false" customHeight="false" hidden="false" ht="15.75" outlineLevel="0" r="53">
      <c r="A53" s="177" t="n">
        <f aca="false">A41</f>
        <v>32768</v>
      </c>
      <c r="B53" s="149" t="s">
        <v>598</v>
      </c>
      <c r="AL53" s="133"/>
    </row>
    <row collapsed="false" customFormat="false" customHeight="false" hidden="false" ht="15.75" outlineLevel="0" r="54">
      <c r="A54" s="149" t="s">
        <v>554</v>
      </c>
      <c r="B54" s="149" t="s">
        <v>599</v>
      </c>
      <c r="AL54" s="133"/>
    </row>
    <row collapsed="false" customFormat="false" customHeight="false" hidden="false" ht="15.75" outlineLevel="0" r="55">
      <c r="A55" s="149" t="n">
        <v>65536</v>
      </c>
      <c r="B55" s="176" t="str">
        <f aca="false">SUBSTITUTE(B54,"_","")</f>
        <v>00000000000000010000000000000000</v>
      </c>
      <c r="AL55" s="133"/>
    </row>
    <row collapsed="false" customFormat="false" customHeight="false" hidden="false" ht="15.75" outlineLevel="0" r="56">
      <c r="A56" s="149"/>
      <c r="B56" s="149"/>
    </row>
    <row collapsed="false" customFormat="false" customHeight="false" hidden="false" ht="15.75" outlineLevel="0" r="57">
      <c r="A57" s="173" t="n">
        <f aca="false">T10</f>
        <v>33024</v>
      </c>
      <c r="B57" s="173" t="s">
        <v>596</v>
      </c>
    </row>
    <row collapsed="false" customFormat="false" customHeight="false" hidden="false" ht="15.75" outlineLevel="0" r="58">
      <c r="A58" s="173" t="s">
        <v>600</v>
      </c>
      <c r="B58" s="173" t="s">
        <v>601</v>
      </c>
    </row>
    <row collapsed="false" customFormat="false" customHeight="false" hidden="false" ht="15.75" outlineLevel="0" r="59">
      <c r="A59" s="173" t="n">
        <v>66048</v>
      </c>
      <c r="B59" s="174" t="str">
        <f aca="false">SUBSTITUTE(B58,"_","")</f>
        <v>00000000000000010000001000000000</v>
      </c>
    </row>
    <row collapsed="false" customFormat="false" customHeight="false" hidden="false" ht="15.75" outlineLevel="0" r="60">
      <c r="A60" s="173" t="s">
        <v>602</v>
      </c>
      <c r="B60" s="173" t="s">
        <v>603</v>
      </c>
    </row>
    <row collapsed="false" customFormat="false" customHeight="false" hidden="false" ht="15.75" outlineLevel="0" r="61">
      <c r="A61" s="173" t="n">
        <v>66049</v>
      </c>
      <c r="B61" s="174" t="str">
        <f aca="false">SUBSTITUTE(B60,"_","")</f>
        <v>00000000000000010000001000000001</v>
      </c>
    </row>
    <row collapsed="false" customFormat="false" customHeight="false" hidden="false" ht="15.75" outlineLevel="0" r="62">
      <c r="A62" s="149"/>
      <c r="B62" s="149"/>
    </row>
    <row collapsed="false" customFormat="false" customHeight="false" hidden="false" ht="15.75" outlineLevel="0" r="63">
      <c r="A63" s="149" t="n">
        <f aca="false">S9</f>
        <v>0</v>
      </c>
      <c r="B63" s="149" t="s">
        <v>604</v>
      </c>
    </row>
    <row collapsed="false" customFormat="false" customHeight="false" hidden="false" ht="15.75" outlineLevel="0" r="64">
      <c r="A64" s="149" t="s">
        <v>605</v>
      </c>
      <c r="B64" s="149" t="s">
        <v>606</v>
      </c>
    </row>
    <row collapsed="false" customFormat="false" customHeight="false" hidden="false" ht="15.75" outlineLevel="0" r="65">
      <c r="A65" s="149" t="n">
        <v>1073741824</v>
      </c>
      <c r="B65" s="176" t="str">
        <f aca="false">SUBSTITUTE(B64,"_","")</f>
        <v>1000000000000000000000000000000</v>
      </c>
    </row>
    <row collapsed="false" customFormat="false" customHeight="false" hidden="false" ht="15.75" outlineLevel="0" r="68">
      <c r="M68" s="169" t="n">
        <v>10040280</v>
      </c>
    </row>
  </sheetData>
  <mergeCells count="3">
    <mergeCell ref="AG3:AH3"/>
    <mergeCell ref="AI3:AJ3"/>
    <mergeCell ref="AL3:AN3"/>
  </mergeCell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otalTime>0</TotalTime>
  <Application>LibreOffice/4.0.4.2$Windows_x86 LibreOffice_project/9e9821abd0ffdbc09cd8c52eaa574fa09eb08f2</Application>
</Properties>
</file>

<file path=docProps/core.xml><?xml version="1.0" encoding="utf-8"?>
<cp:coreProperties xmlns:cp="http://schemas.openxmlformats.org/package/2006/metadata/core-properties" xmlns:dc="http://purl.org/dc/elements/1.1/" xmlns:dcmitype="http://purl.org/dc/dcmitype/" xmlns:dcterms="http://purl.org/dc/terms/" xmlns:xsi="http://www.w3.org/2001/XMLSchema-instance">
  <dcterms:created xsi:type="dcterms:W3CDTF">2014-10-17T16:42:55.00Z</dcterms:created>
  <dc:creator>Bob Fourney</dc:creator>
  <cp:lastModifiedBy>Jordatech</cp:lastModifiedBy>
  <cp:lastPrinted>2014-11-06T20:10:32.00Z</cp:lastPrinted>
  <dcterms:modified xsi:type="dcterms:W3CDTF">2014-11-23T02:52:58.00Z</dcterms:modified>
  <cp:revision>0</cp:revision>
</cp:coreProperties>
</file>