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6380" windowHeight="8130" tabRatio="938" activeTab="1"/>
  </bookViews>
  <sheets>
    <sheet name="OP_CODES" sheetId="1" r:id="rId1"/>
    <sheet name="Whole Processor Validation Key" sheetId="8" r:id="rId2"/>
    <sheet name="Validating JMP" sheetId="11" r:id="rId3"/>
    <sheet name="Validating JSR,RTS" sheetId="12" r:id="rId4"/>
    <sheet name="Validating BEQ" sheetId="13" r:id="rId5"/>
    <sheet name="Register File Table" sheetId="16" r:id="rId6"/>
    <sheet name="MEMORY Table" sheetId="15" r:id="rId7"/>
    <sheet name="Copyable Debugging Format" sheetId="14" r:id="rId8"/>
    <sheet name="Copyable Test Set Format" sheetId="9" r:id="rId9"/>
    <sheet name="Pseudocode Test Script Phase#2" sheetId="10" r:id="rId10"/>
  </sheets>
  <functionGroups builtInGroupCount="17"/>
  <calcPr calcId="145621" iterateDelta="1E-4"/>
</workbook>
</file>

<file path=xl/calcChain.xml><?xml version="1.0" encoding="utf-8"?>
<calcChain xmlns="http://schemas.openxmlformats.org/spreadsheetml/2006/main">
  <c r="M82" i="8" l="1"/>
  <c r="M81" i="8"/>
  <c r="L4" i="8"/>
  <c r="B81" i="8"/>
  <c r="P82" i="8"/>
  <c r="L82" i="8"/>
  <c r="D82" i="8"/>
  <c r="B82" i="8"/>
  <c r="A82" i="8"/>
  <c r="R81" i="8"/>
  <c r="R82" i="8" s="1"/>
  <c r="Q81" i="8"/>
  <c r="Q82" i="8" s="1"/>
  <c r="P81" i="8"/>
  <c r="L81" i="8"/>
  <c r="D81" i="8"/>
  <c r="A81" i="8"/>
  <c r="M64" i="8"/>
  <c r="M68" i="8"/>
  <c r="M77" i="8"/>
  <c r="M76" i="8"/>
  <c r="M75" i="8"/>
  <c r="M72" i="8"/>
  <c r="M71" i="8"/>
  <c r="B60" i="8"/>
  <c r="B54" i="8"/>
  <c r="B77" i="8"/>
  <c r="B76" i="8"/>
  <c r="B75" i="8"/>
  <c r="B71" i="8"/>
  <c r="B72" i="8"/>
  <c r="L77" i="8"/>
  <c r="D77" i="8"/>
  <c r="A77" i="8"/>
  <c r="P76" i="8"/>
  <c r="L76" i="8"/>
  <c r="D76" i="8"/>
  <c r="A76" i="8"/>
  <c r="R75" i="8"/>
  <c r="R76" i="8" s="1"/>
  <c r="R77" i="8" s="1"/>
  <c r="Q75" i="8"/>
  <c r="Q76" i="8" s="1"/>
  <c r="Q77" i="8" s="1"/>
  <c r="P75" i="8"/>
  <c r="L75" i="8"/>
  <c r="D75" i="8"/>
  <c r="A75" i="8"/>
  <c r="O9" i="8"/>
  <c r="O10" i="8" s="1"/>
  <c r="O11" i="8" s="1"/>
  <c r="O12" i="8" s="1"/>
  <c r="O13" i="8" s="1"/>
  <c r="O14" i="8" s="1"/>
  <c r="O15" i="8" s="1"/>
  <c r="O16" i="8" s="1"/>
  <c r="O17" i="8" s="1"/>
  <c r="O18" i="8" s="1"/>
  <c r="O19" i="8" s="1"/>
  <c r="O20" i="8" s="1"/>
  <c r="O21" i="8" s="1"/>
  <c r="O22" i="8" s="1"/>
  <c r="O23" i="8" s="1"/>
  <c r="O24" i="8" s="1"/>
  <c r="O25" i="8" s="1"/>
  <c r="O26" i="8" s="1"/>
  <c r="O27" i="8" s="1"/>
  <c r="O28" i="8" s="1"/>
  <c r="O29" i="8" s="1"/>
  <c r="O30" i="8" s="1"/>
  <c r="O31" i="8" s="1"/>
  <c r="O32" i="8" s="1"/>
  <c r="O33" i="8" s="1"/>
  <c r="O34" i="8" s="1"/>
  <c r="O35" i="8" s="1"/>
  <c r="O36" i="8" s="1"/>
  <c r="O37" i="8" s="1"/>
  <c r="O38" i="8" s="1"/>
  <c r="O39" i="8" s="1"/>
  <c r="O40" i="8" s="1"/>
  <c r="O41" i="8" s="1"/>
  <c r="O42" i="8" s="1"/>
  <c r="O43" i="8" s="1"/>
  <c r="O44" i="8" s="1"/>
  <c r="O45" i="8" s="1"/>
  <c r="O46" i="8" s="1"/>
  <c r="O47" i="8" s="1"/>
  <c r="O48" i="8" s="1"/>
  <c r="O49" i="8" s="1"/>
  <c r="O50" i="8" s="1"/>
  <c r="O51" i="8" s="1"/>
  <c r="O52" i="8" s="1"/>
  <c r="O53" i="8" s="1"/>
  <c r="O54" i="8" s="1"/>
  <c r="O55" i="8" s="1"/>
  <c r="O56" i="8" s="1"/>
  <c r="O57" i="8" s="1"/>
  <c r="O58" i="8" s="1"/>
  <c r="O59" i="8" s="1"/>
  <c r="O60" i="8" s="1"/>
  <c r="O61" i="8" s="1"/>
  <c r="O62" i="8" s="1"/>
  <c r="O63" i="8" s="1"/>
  <c r="O64" i="8" s="1"/>
  <c r="O65" i="8" s="1"/>
  <c r="O66" i="8" s="1"/>
  <c r="O67" i="8" s="1"/>
  <c r="O68" i="8" s="1"/>
  <c r="O69" i="8" s="1"/>
  <c r="O70" i="8" s="1"/>
  <c r="O71" i="8" s="1"/>
  <c r="O72" i="8" s="1"/>
  <c r="O73" i="8" s="1"/>
  <c r="O74" i="8" s="1"/>
  <c r="O8" i="8"/>
  <c r="O7" i="8"/>
  <c r="Q72" i="8"/>
  <c r="D72" i="8"/>
  <c r="A72" i="8"/>
  <c r="R71" i="8"/>
  <c r="R72" i="8" s="1"/>
  <c r="D71" i="8"/>
  <c r="A71" i="8"/>
  <c r="Q71" i="8"/>
  <c r="P71" i="8"/>
  <c r="P72" i="8" s="1"/>
  <c r="R68" i="8"/>
  <c r="D68" i="8"/>
  <c r="B68" i="8"/>
  <c r="A68" i="8"/>
  <c r="R67" i="8"/>
  <c r="P67" i="8"/>
  <c r="P68" i="8" s="1"/>
  <c r="L67" i="8"/>
  <c r="Q67" i="8" s="1"/>
  <c r="Q68" i="8" s="1"/>
  <c r="G67" i="8"/>
  <c r="D67" i="8" s="1"/>
  <c r="B67" i="8"/>
  <c r="P64" i="8"/>
  <c r="P63" i="8"/>
  <c r="R63" i="8"/>
  <c r="L63" i="8"/>
  <c r="Q63" i="8" s="1"/>
  <c r="Q64" i="8" s="1"/>
  <c r="G63" i="8"/>
  <c r="D63" i="8" s="1"/>
  <c r="B63" i="8"/>
  <c r="D64" i="8"/>
  <c r="D60" i="8"/>
  <c r="D59" i="8"/>
  <c r="D58" i="8"/>
  <c r="D56" i="8"/>
  <c r="D55" i="8"/>
  <c r="D54" i="8"/>
  <c r="D52" i="8"/>
  <c r="D51" i="8"/>
  <c r="D50" i="8"/>
  <c r="D49" i="8"/>
  <c r="D47" i="8"/>
  <c r="D45" i="8"/>
  <c r="D43" i="8"/>
  <c r="D41" i="8"/>
  <c r="D39" i="8"/>
  <c r="D37" i="8"/>
  <c r="D35" i="8"/>
  <c r="D34" i="8"/>
  <c r="D33" i="8"/>
  <c r="D31" i="8"/>
  <c r="D30" i="8"/>
  <c r="D29" i="8"/>
  <c r="D27" i="8"/>
  <c r="D24" i="8"/>
  <c r="D23" i="8"/>
  <c r="D22" i="8"/>
  <c r="D21" i="8"/>
  <c r="D18" i="8"/>
  <c r="D15" i="8"/>
  <c r="D13" i="8"/>
  <c r="D11" i="8"/>
  <c r="D10" i="8"/>
  <c r="D8" i="8"/>
  <c r="D7" i="8"/>
  <c r="B64" i="8"/>
  <c r="R64" i="8"/>
  <c r="A64" i="8"/>
  <c r="D7" i="13"/>
  <c r="A7" i="13"/>
  <c r="L5" i="13"/>
  <c r="K5" i="13"/>
  <c r="D7" i="12"/>
  <c r="A7" i="12"/>
  <c r="L5" i="12"/>
  <c r="K5" i="12"/>
  <c r="D7" i="11"/>
  <c r="A7" i="11"/>
  <c r="L5" i="11"/>
  <c r="K5" i="11"/>
  <c r="D7" i="9"/>
  <c r="A7" i="9"/>
  <c r="L5" i="9"/>
  <c r="K5" i="9"/>
  <c r="D2" i="10"/>
  <c r="F2" i="10"/>
  <c r="H2" i="10"/>
  <c r="M2" i="10" s="1"/>
  <c r="J2" i="10"/>
  <c r="D3" i="10"/>
  <c r="H3" i="10"/>
  <c r="E21" i="10" s="1"/>
  <c r="J3" i="10"/>
  <c r="K3" i="10"/>
  <c r="L3" i="10"/>
  <c r="M3" i="10"/>
  <c r="D4" i="10"/>
  <c r="M4" i="10" s="1"/>
  <c r="H4" i="10"/>
  <c r="J4" i="10"/>
  <c r="K4" i="10"/>
  <c r="G22" i="10" s="1"/>
  <c r="L4" i="10"/>
  <c r="O4" i="10"/>
  <c r="D5" i="10"/>
  <c r="M5" i="10" s="1"/>
  <c r="H5" i="10"/>
  <c r="J5" i="10"/>
  <c r="K5" i="10"/>
  <c r="L5" i="10"/>
  <c r="O5" i="10"/>
  <c r="P5" i="10"/>
  <c r="D6" i="10"/>
  <c r="M6" i="10" s="1"/>
  <c r="F6" i="10"/>
  <c r="H6" i="10"/>
  <c r="J6" i="10"/>
  <c r="O6" i="10"/>
  <c r="P6" i="10"/>
  <c r="D7" i="10"/>
  <c r="F7" i="10"/>
  <c r="D25" i="10" s="1"/>
  <c r="H7" i="10"/>
  <c r="J7" i="10"/>
  <c r="O7" i="10"/>
  <c r="Q7" i="10" s="1"/>
  <c r="P7" i="10"/>
  <c r="D8" i="10"/>
  <c r="F8" i="10"/>
  <c r="M8" i="10" s="1"/>
  <c r="H8" i="10"/>
  <c r="J8" i="10"/>
  <c r="O8" i="10"/>
  <c r="Q8" i="10" s="1"/>
  <c r="P8" i="10"/>
  <c r="D9" i="10"/>
  <c r="M9" i="10" s="1"/>
  <c r="F9" i="10"/>
  <c r="H9" i="10"/>
  <c r="J9" i="10"/>
  <c r="P9" i="10"/>
  <c r="D10" i="10"/>
  <c r="F10" i="10"/>
  <c r="H10" i="10"/>
  <c r="J10" i="10"/>
  <c r="M10" i="10" s="1"/>
  <c r="P10" i="10"/>
  <c r="S10" i="10"/>
  <c r="D11" i="10"/>
  <c r="F11" i="10"/>
  <c r="M11" i="10" s="1"/>
  <c r="H11" i="10"/>
  <c r="J11" i="10"/>
  <c r="P11" i="10"/>
  <c r="S11" i="10"/>
  <c r="S12" i="10" s="1"/>
  <c r="T11" i="10"/>
  <c r="D12" i="10"/>
  <c r="F12" i="10"/>
  <c r="H12" i="10"/>
  <c r="M12" i="10" s="1"/>
  <c r="J12" i="10"/>
  <c r="P12" i="10"/>
  <c r="P30" i="10" s="1"/>
  <c r="T12" i="10"/>
  <c r="T30" i="10" s="1"/>
  <c r="U12" i="10"/>
  <c r="D13" i="10"/>
  <c r="F13" i="10"/>
  <c r="H13" i="10"/>
  <c r="M13" i="10" s="1"/>
  <c r="J13" i="10"/>
  <c r="P13" i="10"/>
  <c r="P14" i="10" s="1"/>
  <c r="T13" i="10"/>
  <c r="T14" i="10" s="1"/>
  <c r="U13" i="10"/>
  <c r="V13" i="10"/>
  <c r="W13" i="10"/>
  <c r="D14" i="10"/>
  <c r="C32" i="10" s="1"/>
  <c r="F14" i="10"/>
  <c r="H14" i="10"/>
  <c r="J14" i="10"/>
  <c r="U14" i="10"/>
  <c r="V14" i="10"/>
  <c r="V15" i="10" s="1"/>
  <c r="V16" i="10" s="1"/>
  <c r="V17" i="10" s="1"/>
  <c r="W14" i="10"/>
  <c r="X14" i="10"/>
  <c r="D15" i="10"/>
  <c r="F15" i="10"/>
  <c r="D33" i="10" s="1"/>
  <c r="H15" i="10"/>
  <c r="J15" i="10"/>
  <c r="U15" i="10"/>
  <c r="W15" i="10"/>
  <c r="X15" i="10"/>
  <c r="Y15" i="10"/>
  <c r="D16" i="10"/>
  <c r="F16" i="10"/>
  <c r="M16" i="10" s="1"/>
  <c r="H16" i="10"/>
  <c r="J16" i="10"/>
  <c r="U16" i="10"/>
  <c r="W16" i="10"/>
  <c r="W17" i="10" s="1"/>
  <c r="X16" i="10"/>
  <c r="Y16" i="10"/>
  <c r="D17" i="10"/>
  <c r="M17" i="10" s="1"/>
  <c r="F17" i="10"/>
  <c r="H17" i="10"/>
  <c r="J17" i="10"/>
  <c r="U17" i="10"/>
  <c r="X17" i="10"/>
  <c r="Y17" i="10"/>
  <c r="AA17" i="10"/>
  <c r="C20" i="10"/>
  <c r="D20" i="10"/>
  <c r="E20" i="10"/>
  <c r="N20" i="10"/>
  <c r="C21" i="10"/>
  <c r="F21" i="10"/>
  <c r="G21" i="10"/>
  <c r="N21" i="10"/>
  <c r="C22" i="10"/>
  <c r="E22" i="10"/>
  <c r="F22" i="10"/>
  <c r="N22" i="10"/>
  <c r="O22" i="10"/>
  <c r="D23" i="10"/>
  <c r="E23" i="10"/>
  <c r="F23" i="10"/>
  <c r="N23" i="10"/>
  <c r="O23" i="10"/>
  <c r="D24" i="10"/>
  <c r="E24" i="10"/>
  <c r="N24" i="10"/>
  <c r="O24" i="10"/>
  <c r="P24" i="10"/>
  <c r="C25" i="10"/>
  <c r="E25" i="10"/>
  <c r="N25" i="10"/>
  <c r="P25" i="10"/>
  <c r="C26" i="10"/>
  <c r="E26" i="10"/>
  <c r="N26" i="10"/>
  <c r="O26" i="10"/>
  <c r="P26" i="10"/>
  <c r="C27" i="10"/>
  <c r="D27" i="10"/>
  <c r="E27" i="10"/>
  <c r="N27" i="10"/>
  <c r="P27" i="10"/>
  <c r="S27" i="10"/>
  <c r="C28" i="10"/>
  <c r="D28" i="10"/>
  <c r="E28" i="10"/>
  <c r="N28" i="10"/>
  <c r="P28" i="10"/>
  <c r="S28" i="10"/>
  <c r="T28" i="10"/>
  <c r="C29" i="10"/>
  <c r="D29" i="10"/>
  <c r="E29" i="10"/>
  <c r="N29" i="10"/>
  <c r="P29" i="10"/>
  <c r="T29" i="10"/>
  <c r="U29" i="10"/>
  <c r="C30" i="10"/>
  <c r="D30" i="10"/>
  <c r="E30" i="10"/>
  <c r="N30" i="10"/>
  <c r="U30" i="10"/>
  <c r="V30" i="10"/>
  <c r="C31" i="10"/>
  <c r="D31" i="10"/>
  <c r="E31" i="10"/>
  <c r="N31" i="10"/>
  <c r="U31" i="10"/>
  <c r="V31" i="10"/>
  <c r="W31" i="10"/>
  <c r="W32" i="10" s="1"/>
  <c r="W33" i="10" s="1"/>
  <c r="W34" i="10" s="1"/>
  <c r="W35" i="10" s="1"/>
  <c r="D32" i="10"/>
  <c r="E32" i="10"/>
  <c r="N32" i="10"/>
  <c r="U32" i="10"/>
  <c r="V32" i="10"/>
  <c r="X32" i="10"/>
  <c r="X33" i="10" s="1"/>
  <c r="X34" i="10" s="1"/>
  <c r="X35" i="10" s="1"/>
  <c r="C33" i="10"/>
  <c r="E33" i="10"/>
  <c r="N33" i="10"/>
  <c r="U33" i="10"/>
  <c r="V33" i="10"/>
  <c r="V34" i="10" s="1"/>
  <c r="V35" i="10" s="1"/>
  <c r="Y33" i="10"/>
  <c r="C34" i="10"/>
  <c r="E34" i="10"/>
  <c r="N34" i="10"/>
  <c r="U34" i="10"/>
  <c r="Y34" i="10"/>
  <c r="Z34" i="10"/>
  <c r="C35" i="10"/>
  <c r="D35" i="10"/>
  <c r="E35" i="10"/>
  <c r="N35" i="10"/>
  <c r="U35" i="10"/>
  <c r="Y35" i="10"/>
  <c r="Z35" i="10"/>
  <c r="AA35" i="10"/>
  <c r="B47" i="10"/>
  <c r="B51" i="10"/>
  <c r="A53" i="10"/>
  <c r="B55" i="10"/>
  <c r="A57" i="10"/>
  <c r="B59" i="10"/>
  <c r="B61" i="10"/>
  <c r="A63" i="10"/>
  <c r="Z16" i="10" s="1"/>
  <c r="Z17" i="10" s="1"/>
  <c r="B65" i="10"/>
  <c r="A60" i="8"/>
  <c r="L59" i="8"/>
  <c r="Q59" i="8" s="1"/>
  <c r="Q60" i="8" s="1"/>
  <c r="G59" i="8"/>
  <c r="B59" i="8"/>
  <c r="A59" i="8"/>
  <c r="A58" i="8"/>
  <c r="L57" i="8"/>
  <c r="P57" i="8" s="1"/>
  <c r="P58" i="8" s="1"/>
  <c r="P59" i="8" s="1"/>
  <c r="G57" i="8"/>
  <c r="A57" i="8" s="1"/>
  <c r="B57" i="8"/>
  <c r="B56" i="8"/>
  <c r="B55" i="8"/>
  <c r="A56" i="8"/>
  <c r="L55" i="8"/>
  <c r="P55" i="8" s="1"/>
  <c r="P56" i="8" s="1"/>
  <c r="R56" i="8" s="1"/>
  <c r="R57" i="8" s="1"/>
  <c r="G55" i="8"/>
  <c r="B41" i="8"/>
  <c r="L53" i="8"/>
  <c r="P53" i="8" s="1"/>
  <c r="G53" i="8"/>
  <c r="D53" i="8" s="1"/>
  <c r="B53" i="8"/>
  <c r="L54" i="8"/>
  <c r="A54" i="8"/>
  <c r="B52" i="8"/>
  <c r="B51" i="8"/>
  <c r="B49" i="8"/>
  <c r="B47" i="8"/>
  <c r="B45" i="8"/>
  <c r="B43" i="8"/>
  <c r="M8" i="8"/>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2" i="8" s="1"/>
  <c r="M33" i="8" s="1"/>
  <c r="M34" i="8" s="1"/>
  <c r="M35" i="8" s="1"/>
  <c r="M36" i="8" s="1"/>
  <c r="M37" i="8" s="1"/>
  <c r="M38" i="8" s="1"/>
  <c r="M39" i="8" s="1"/>
  <c r="M40" i="8" s="1"/>
  <c r="M41" i="8" s="1"/>
  <c r="M42" i="8" s="1"/>
  <c r="M43" i="8" s="1"/>
  <c r="M44" i="8" s="1"/>
  <c r="M45" i="8" s="1"/>
  <c r="M46" i="8" s="1"/>
  <c r="M47" i="8" s="1"/>
  <c r="M48" i="8" s="1"/>
  <c r="M49" i="8" s="1"/>
  <c r="M50" i="8" s="1"/>
  <c r="M51" i="8" s="1"/>
  <c r="M52" i="8" s="1"/>
  <c r="M53" i="8" s="1"/>
  <c r="M54" i="8" s="1"/>
  <c r="M55" i="8" s="1"/>
  <c r="M56" i="8" s="1"/>
  <c r="M57" i="8" s="1"/>
  <c r="M58" i="8" s="1"/>
  <c r="B29" i="8"/>
  <c r="B33" i="8"/>
  <c r="B35" i="8"/>
  <c r="B31" i="8"/>
  <c r="L52" i="8"/>
  <c r="A52" i="8"/>
  <c r="L51" i="8"/>
  <c r="A51" i="8"/>
  <c r="L50" i="8"/>
  <c r="B50" i="8"/>
  <c r="A50" i="8"/>
  <c r="L49" i="8"/>
  <c r="A49" i="8"/>
  <c r="L48" i="8"/>
  <c r="P48" i="8" s="1"/>
  <c r="P49" i="8" s="1"/>
  <c r="P50" i="8" s="1"/>
  <c r="P51" i="8" s="1"/>
  <c r="P52" i="8" s="1"/>
  <c r="G48" i="8"/>
  <c r="D48" i="8" s="1"/>
  <c r="B48" i="8"/>
  <c r="A48" i="8"/>
  <c r="L47" i="8"/>
  <c r="A47" i="8"/>
  <c r="L46" i="8"/>
  <c r="P46" i="8" s="1"/>
  <c r="P47" i="8" s="1"/>
  <c r="G46" i="8"/>
  <c r="D46" i="8" s="1"/>
  <c r="B46" i="8"/>
  <c r="L45" i="8"/>
  <c r="A45" i="8"/>
  <c r="L44" i="8"/>
  <c r="P44" i="8" s="1"/>
  <c r="P45" i="8" s="1"/>
  <c r="G44" i="8"/>
  <c r="D44" i="8" s="1"/>
  <c r="B44" i="8"/>
  <c r="A44" i="8"/>
  <c r="R43" i="8"/>
  <c r="L43" i="8"/>
  <c r="A43" i="8"/>
  <c r="L42" i="8"/>
  <c r="P42" i="8" s="1"/>
  <c r="P43" i="8" s="1"/>
  <c r="G42" i="8"/>
  <c r="D42" i="8" s="1"/>
  <c r="B42" i="8"/>
  <c r="R41" i="8"/>
  <c r="A41" i="8"/>
  <c r="L40" i="8"/>
  <c r="P40" i="8" s="1"/>
  <c r="P41" i="8" s="1"/>
  <c r="G40" i="8"/>
  <c r="D40" i="8" s="1"/>
  <c r="B40" i="8"/>
  <c r="B39" i="8"/>
  <c r="A39" i="8"/>
  <c r="L38" i="8"/>
  <c r="P38" i="8" s="1"/>
  <c r="P39" i="8" s="1"/>
  <c r="G38" i="8"/>
  <c r="D38" i="8" s="1"/>
  <c r="B38" i="8"/>
  <c r="B37" i="8"/>
  <c r="A37" i="8"/>
  <c r="L36" i="8"/>
  <c r="P36" i="8" s="1"/>
  <c r="P37" i="8" s="1"/>
  <c r="G36" i="8"/>
  <c r="D36" i="8" s="1"/>
  <c r="B36" i="8"/>
  <c r="A35" i="8"/>
  <c r="L34" i="8"/>
  <c r="P34" i="8" s="1"/>
  <c r="P35" i="8" s="1"/>
  <c r="G34" i="8"/>
  <c r="B34" i="8"/>
  <c r="A33" i="8"/>
  <c r="L32" i="8"/>
  <c r="P32" i="8" s="1"/>
  <c r="P33" i="8" s="1"/>
  <c r="G32" i="8"/>
  <c r="D32" i="8" s="1"/>
  <c r="B32" i="8"/>
  <c r="A31" i="8"/>
  <c r="L30" i="8"/>
  <c r="P30" i="8" s="1"/>
  <c r="P31" i="8" s="1"/>
  <c r="G30" i="8"/>
  <c r="B30" i="8"/>
  <c r="A29" i="8"/>
  <c r="B26" i="8"/>
  <c r="G26" i="8"/>
  <c r="D26" i="8" s="1"/>
  <c r="L26" i="8"/>
  <c r="Q26" i="8" s="1"/>
  <c r="Q27" i="8" s="1"/>
  <c r="Q28" i="8" s="1"/>
  <c r="Q29" i="8" s="1"/>
  <c r="Q30" i="8" s="1"/>
  <c r="Q31" i="8" s="1"/>
  <c r="Q32" i="8" s="1"/>
  <c r="Q33" i="8" s="1"/>
  <c r="Q34" i="8" s="1"/>
  <c r="Q35" i="8" s="1"/>
  <c r="Q36" i="8" s="1"/>
  <c r="Q37" i="8" s="1"/>
  <c r="Q38" i="8" s="1"/>
  <c r="Q39" i="8" s="1"/>
  <c r="Q40" i="8" s="1"/>
  <c r="Q41" i="8" s="1"/>
  <c r="Q42" i="8" s="1"/>
  <c r="Q43" i="8" s="1"/>
  <c r="Q44" i="8" s="1"/>
  <c r="Q45" i="8" s="1"/>
  <c r="Q46" i="8" s="1"/>
  <c r="Q47" i="8" s="1"/>
  <c r="Q48" i="8" s="1"/>
  <c r="Q49" i="8" s="1"/>
  <c r="Q50" i="8" s="1"/>
  <c r="A27" i="8"/>
  <c r="A24" i="8"/>
  <c r="A23" i="8"/>
  <c r="A22" i="8"/>
  <c r="A21" i="8"/>
  <c r="A18" i="8"/>
  <c r="A17" i="8"/>
  <c r="A15" i="8"/>
  <c r="A13" i="8"/>
  <c r="A11" i="8"/>
  <c r="A10" i="8"/>
  <c r="A9" i="8"/>
  <c r="A8" i="8"/>
  <c r="A7" i="8"/>
  <c r="G28" i="8"/>
  <c r="D28" i="8" s="1"/>
  <c r="G25" i="8"/>
  <c r="D25" i="8" s="1"/>
  <c r="G23" i="8"/>
  <c r="G22" i="8"/>
  <c r="G20" i="8"/>
  <c r="A20" i="8" s="1"/>
  <c r="G19" i="8"/>
  <c r="A19" i="8" s="1"/>
  <c r="G17" i="8"/>
  <c r="D17" i="8" s="1"/>
  <c r="G16" i="8"/>
  <c r="A16" i="8" s="1"/>
  <c r="G14" i="8"/>
  <c r="D14" i="8" s="1"/>
  <c r="G12" i="8"/>
  <c r="A12" i="8" s="1"/>
  <c r="G9" i="8"/>
  <c r="D9" i="8" s="1"/>
  <c r="R15" i="8"/>
  <c r="L28" i="8"/>
  <c r="P28" i="8" s="1"/>
  <c r="P29" i="8" s="1"/>
  <c r="B28" i="8"/>
  <c r="B27" i="8"/>
  <c r="L25" i="8"/>
  <c r="P25" i="8" s="1"/>
  <c r="B25" i="8"/>
  <c r="B24" i="8"/>
  <c r="L23" i="8"/>
  <c r="Q23" i="8" s="1"/>
  <c r="Q24" i="8" s="1"/>
  <c r="B23" i="8"/>
  <c r="L22" i="8"/>
  <c r="P22" i="8" s="1"/>
  <c r="P23" i="8" s="1"/>
  <c r="P24" i="8" s="1"/>
  <c r="B22" i="8"/>
  <c r="B21" i="8"/>
  <c r="Q20" i="8"/>
  <c r="Q21" i="8" s="1"/>
  <c r="L20" i="8"/>
  <c r="B20" i="8"/>
  <c r="L19" i="8"/>
  <c r="P19" i="8" s="1"/>
  <c r="P20" i="8" s="1"/>
  <c r="P21" i="8" s="1"/>
  <c r="B19" i="8"/>
  <c r="B18" i="8"/>
  <c r="L17" i="8"/>
  <c r="Q17" i="8" s="1"/>
  <c r="Q18" i="8" s="1"/>
  <c r="B17" i="8"/>
  <c r="L16" i="8"/>
  <c r="P16" i="8" s="1"/>
  <c r="P17" i="8" s="1"/>
  <c r="P18" i="8" s="1"/>
  <c r="B16" i="8"/>
  <c r="Q15" i="8"/>
  <c r="B15" i="8"/>
  <c r="R13" i="8"/>
  <c r="P11" i="8"/>
  <c r="P12" i="8" s="1"/>
  <c r="P13" i="8" s="1"/>
  <c r="L11" i="8"/>
  <c r="L12" i="8"/>
  <c r="Q12" i="8" s="1"/>
  <c r="Q13" i="8" s="1"/>
  <c r="L14" i="8"/>
  <c r="P14" i="8" s="1"/>
  <c r="P15" i="8" s="1"/>
  <c r="R35" i="8"/>
  <c r="R33" i="8"/>
  <c r="R31" i="8"/>
  <c r="R29" i="8"/>
  <c r="R49" i="8"/>
  <c r="R47" i="8"/>
  <c r="R45" i="8"/>
  <c r="R39" i="8"/>
  <c r="R37" i="8"/>
  <c r="R18" i="8"/>
  <c r="O75" i="8" l="1"/>
  <c r="O76" i="8" s="1"/>
  <c r="O77" i="8" s="1"/>
  <c r="O78" i="8" s="1"/>
  <c r="O79" i="8" s="1"/>
  <c r="O80" i="8" s="1"/>
  <c r="O81" i="8" s="1"/>
  <c r="O82" i="8" s="1"/>
  <c r="O83" i="8" s="1"/>
  <c r="O84" i="8" s="1"/>
  <c r="M59" i="8"/>
  <c r="M60" i="8" s="1"/>
  <c r="M61" i="8" s="1"/>
  <c r="M62" i="8" s="1"/>
  <c r="M63" i="8" s="1"/>
  <c r="P26" i="8"/>
  <c r="P27" i="8" s="1"/>
  <c r="R27" i="8" s="1"/>
  <c r="A14" i="8"/>
  <c r="D19" i="8"/>
  <c r="P77" i="8"/>
  <c r="A28" i="8"/>
  <c r="A42" i="8"/>
  <c r="D12" i="8"/>
  <c r="D16" i="8"/>
  <c r="D20" i="8"/>
  <c r="A25" i="8"/>
  <c r="A26" i="8"/>
  <c r="A46" i="8"/>
  <c r="D57" i="8"/>
  <c r="M73" i="8"/>
  <c r="M74" i="8" s="1"/>
  <c r="M78" i="8" s="1"/>
  <c r="M79" i="8" s="1"/>
  <c r="M80" i="8" s="1"/>
  <c r="A67" i="8"/>
  <c r="M65" i="8"/>
  <c r="M66" i="8" s="1"/>
  <c r="A63" i="8"/>
  <c r="R50" i="8"/>
  <c r="R51" i="8" s="1"/>
  <c r="T32" i="10"/>
  <c r="T15" i="10"/>
  <c r="Q26" i="10"/>
  <c r="R8" i="10"/>
  <c r="R26" i="10" s="1"/>
  <c r="S30" i="10"/>
  <c r="S13" i="10"/>
  <c r="A49" i="10"/>
  <c r="Q25" i="10"/>
  <c r="P32" i="10"/>
  <c r="P15" i="10"/>
  <c r="M14" i="10"/>
  <c r="D34" i="10"/>
  <c r="D26" i="10"/>
  <c r="O25" i="10"/>
  <c r="C23" i="10"/>
  <c r="O9" i="10"/>
  <c r="T31" i="10"/>
  <c r="P31" i="10"/>
  <c r="S29" i="10"/>
  <c r="C24" i="10"/>
  <c r="M15" i="10"/>
  <c r="M7" i="10"/>
  <c r="A55" i="8"/>
  <c r="A53" i="8"/>
  <c r="A34" i="8"/>
  <c r="A36" i="8"/>
  <c r="A38" i="8"/>
  <c r="A40" i="8"/>
  <c r="A32" i="8"/>
  <c r="A30" i="8"/>
  <c r="B14" i="8"/>
  <c r="B13" i="8"/>
  <c r="B12" i="8"/>
  <c r="B11" i="8"/>
  <c r="B10" i="8"/>
  <c r="L9" i="8"/>
  <c r="Q9" i="8" s="1"/>
  <c r="Q10" i="8" s="1"/>
  <c r="B9" i="8"/>
  <c r="L8" i="8"/>
  <c r="P8" i="8" s="1"/>
  <c r="P9" i="8" s="1"/>
  <c r="B8" i="8"/>
  <c r="L3" i="8"/>
  <c r="R21" i="8"/>
  <c r="R24" i="8"/>
  <c r="M69" i="8" l="1"/>
  <c r="M70" i="8" s="1"/>
  <c r="M67" i="8"/>
  <c r="R52" i="8"/>
  <c r="Q51" i="8"/>
  <c r="Q52" i="8" s="1"/>
  <c r="Q53" i="8" s="1"/>
  <c r="Q54" i="8" s="1"/>
  <c r="Q55" i="8" s="1"/>
  <c r="Q56" i="8" s="1"/>
  <c r="Q57" i="8" s="1"/>
  <c r="Q58" i="8" s="1"/>
  <c r="B58" i="8" s="1"/>
  <c r="P33" i="10"/>
  <c r="P16" i="10"/>
  <c r="S31" i="10"/>
  <c r="S14" i="10"/>
  <c r="T33" i="10"/>
  <c r="T16" i="10"/>
  <c r="O10" i="10"/>
  <c r="O27" i="10"/>
  <c r="Q9" i="10"/>
  <c r="M83" i="8"/>
  <c r="M84" i="8" s="1"/>
  <c r="P10" i="8"/>
  <c r="R10" i="8" s="1"/>
  <c r="D56" i="1"/>
  <c r="D55" i="1"/>
  <c r="D53" i="1"/>
  <c r="D52" i="1"/>
  <c r="D51" i="1"/>
  <c r="D50" i="1"/>
  <c r="D48" i="1"/>
  <c r="D47" i="1"/>
  <c r="D46" i="1"/>
  <c r="D44" i="1"/>
  <c r="D43" i="1"/>
  <c r="D42" i="1"/>
  <c r="D41" i="1"/>
  <c r="D40" i="1"/>
  <c r="D38" i="1"/>
  <c r="D37" i="1"/>
  <c r="D36" i="1"/>
  <c r="D29" i="1"/>
  <c r="D28" i="1"/>
  <c r="D25" i="1"/>
  <c r="D23" i="1"/>
  <c r="D22" i="1"/>
  <c r="D21" i="1"/>
  <c r="D19" i="1"/>
  <c r="D18" i="1"/>
  <c r="D17" i="1"/>
  <c r="D16" i="1"/>
  <c r="D15" i="1"/>
  <c r="D14" i="1"/>
  <c r="D13" i="1"/>
  <c r="D12" i="1"/>
  <c r="D11" i="1"/>
  <c r="D10" i="1"/>
  <c r="D9" i="1"/>
  <c r="D8" i="1"/>
  <c r="D7" i="1"/>
  <c r="D6" i="1"/>
  <c r="R53" i="8" l="1"/>
  <c r="R54" i="8" s="1"/>
  <c r="R55" i="8" s="1"/>
  <c r="P54" i="8"/>
  <c r="R58" i="8" s="1"/>
  <c r="Q27" i="10"/>
  <c r="R9" i="10"/>
  <c r="R27" i="10" s="1"/>
  <c r="S15" i="10"/>
  <c r="S32" i="10"/>
  <c r="Q10" i="10"/>
  <c r="O11" i="10"/>
  <c r="O28" i="10"/>
  <c r="T17" i="10"/>
  <c r="T35" i="10" s="1"/>
  <c r="T34" i="10"/>
  <c r="P17" i="10"/>
  <c r="P35" i="10" s="1"/>
  <c r="P34" i="10"/>
  <c r="P60" i="8" l="1"/>
  <c r="R59" i="8"/>
  <c r="R60" i="8" s="1"/>
  <c r="S33" i="10"/>
  <c r="S16" i="10"/>
  <c r="Q11" i="10"/>
  <c r="O12" i="10"/>
  <c r="O29" i="10"/>
  <c r="Q28" i="10"/>
  <c r="R10" i="10"/>
  <c r="R28" i="10" s="1"/>
  <c r="R11" i="10" l="1"/>
  <c r="R29" i="10" s="1"/>
  <c r="Q29" i="10"/>
  <c r="S17" i="10"/>
  <c r="S35" i="10" s="1"/>
  <c r="S34" i="10"/>
  <c r="O30" i="10"/>
  <c r="O13" i="10"/>
  <c r="Q12" i="10"/>
  <c r="R12" i="10" l="1"/>
  <c r="R30" i="10" s="1"/>
  <c r="Q30" i="10"/>
  <c r="O31" i="10"/>
  <c r="Q13" i="10"/>
  <c r="O14" i="10"/>
  <c r="O15" i="10" l="1"/>
  <c r="Q14" i="10"/>
  <c r="O32" i="10"/>
  <c r="R13" i="10"/>
  <c r="R31" i="10" s="1"/>
  <c r="Q31" i="10"/>
  <c r="Q32" i="10" l="1"/>
  <c r="R14" i="10"/>
  <c r="R32" i="10" s="1"/>
  <c r="Q15" i="10"/>
  <c r="O16" i="10"/>
  <c r="O33" i="10"/>
  <c r="Q16" i="10" l="1"/>
  <c r="O34" i="10"/>
  <c r="O17" i="10"/>
  <c r="R15" i="10"/>
  <c r="R33" i="10" s="1"/>
  <c r="Q33" i="10"/>
  <c r="Q34" i="10" l="1"/>
  <c r="R16" i="10"/>
  <c r="R34" i="10" s="1"/>
  <c r="Q17" i="10"/>
  <c r="O35" i="10"/>
  <c r="Q35" i="10" l="1"/>
  <c r="R17" i="10"/>
  <c r="R35" i="10" s="1"/>
</calcChain>
</file>

<file path=xl/sharedStrings.xml><?xml version="1.0" encoding="utf-8"?>
<sst xmlns="http://schemas.openxmlformats.org/spreadsheetml/2006/main" count="1529" uniqueCount="502">
  <si>
    <t>Phase 2</t>
  </si>
  <si>
    <t>IR</t>
  </si>
  <si>
    <t>Format</t>
  </si>
  <si>
    <t>OP Code</t>
  </si>
  <si>
    <t>ALU_Op [DEC]</t>
  </si>
  <si>
    <t>ALU_Op [HEX]</t>
  </si>
  <si>
    <t>Mnemonic</t>
  </si>
  <si>
    <t>Arithmetic</t>
  </si>
  <si>
    <t>a</t>
  </si>
  <si>
    <t>0000_0000001_000000</t>
  </si>
  <si>
    <t>1</t>
  </si>
  <si>
    <t>ADD</t>
  </si>
  <si>
    <t>0000_0000100_000000</t>
  </si>
  <si>
    <t>2</t>
  </si>
  <si>
    <t>SUB</t>
  </si>
  <si>
    <t>0000_0001000_000000</t>
  </si>
  <si>
    <t>3</t>
  </si>
  <si>
    <t>AND</t>
  </si>
  <si>
    <t>0000_0001001_000000</t>
  </si>
  <si>
    <t>4</t>
  </si>
  <si>
    <t>OR</t>
  </si>
  <si>
    <t>0000_0001010_000000</t>
  </si>
  <si>
    <t>5</t>
  </si>
  <si>
    <t>NEG</t>
  </si>
  <si>
    <t>0000_0001011_000000</t>
  </si>
  <si>
    <t>6</t>
  </si>
  <si>
    <t>XOR</t>
  </si>
  <si>
    <t>0000_0001100_000000</t>
  </si>
  <si>
    <t>7</t>
  </si>
  <si>
    <t>COMP</t>
  </si>
  <si>
    <t>Shift/Rotate</t>
  </si>
  <si>
    <t>0000_0010000_000000</t>
  </si>
  <si>
    <t>8</t>
  </si>
  <si>
    <t>LSR</t>
  </si>
  <si>
    <t>Logical Shift Right (shift one bit position only)</t>
  </si>
  <si>
    <t>0000_0010001_000000</t>
  </si>
  <si>
    <t>9</t>
  </si>
  <si>
    <t>ASR</t>
  </si>
  <si>
    <t>Arithmetic Shift Right (shift one bit position only)</t>
  </si>
  <si>
    <t>0000_0010011_000000</t>
  </si>
  <si>
    <t>10</t>
  </si>
  <si>
    <t>LSL</t>
  </si>
  <si>
    <t>Logical Shift Left (shift one bit position only)</t>
  </si>
  <si>
    <t>ASL</t>
  </si>
  <si>
    <t>Arithmetic Shift Left (shift one bit position only)</t>
  </si>
  <si>
    <t>0000_0011001_000000</t>
  </si>
  <si>
    <t>11</t>
  </si>
  <si>
    <t>ROR</t>
  </si>
  <si>
    <t>Rotate Right (by one bit position)</t>
  </si>
  <si>
    <t>0000_0011010_000000</t>
  </si>
  <si>
    <t>12</t>
  </si>
  <si>
    <t>ROL</t>
  </si>
  <si>
    <t>Rotate Left (by one bit position)</t>
  </si>
  <si>
    <t>Load/copy</t>
  </si>
  <si>
    <t>0000_0100000_000000</t>
  </si>
  <si>
    <t>13</t>
  </si>
  <si>
    <t>MOVE</t>
  </si>
  <si>
    <t>(Copy)</t>
  </si>
  <si>
    <t>0000_0100001_000000</t>
  </si>
  <si>
    <t>14</t>
  </si>
  <si>
    <t>LBI</t>
  </si>
  <si>
    <t>Load Base with Index</t>
  </si>
  <si>
    <t>0000_0100010_000000</t>
  </si>
  <si>
    <t>15</t>
  </si>
  <si>
    <t>LDRi</t>
  </si>
  <si>
    <t>Load Register Indirect</t>
  </si>
  <si>
    <t>Rsrc2 contains a pointer to the value to be copied into Rdst</t>
  </si>
  <si>
    <t>NOP</t>
  </si>
  <si>
    <t>XXXX_XXXXXXX_111111</t>
  </si>
  <si>
    <t>0</t>
  </si>
  <si>
    <t>No OPeration</t>
  </si>
  <si>
    <t>Format B Loads</t>
  </si>
  <si>
    <t>b</t>
  </si>
  <si>
    <t>32</t>
  </si>
  <si>
    <t>LD #</t>
  </si>
  <si>
    <t>Load immediate</t>
  </si>
  <si>
    <t>The value in the immediate field is sign extended and placed in the Rdst</t>
  </si>
  <si>
    <t>33</t>
  </si>
  <si>
    <t>LDU #</t>
  </si>
  <si>
    <t>Load unsigned immediate</t>
  </si>
  <si>
    <t>The value in the immediate field is padded with zeros to the left and placed in Rdst</t>
  </si>
  <si>
    <t>Phase 3</t>
  </si>
  <si>
    <t>Jumps</t>
  </si>
  <si>
    <t>0000_1000000_000000</t>
  </si>
  <si>
    <t>16</t>
  </si>
  <si>
    <t>JMP</t>
  </si>
  <si>
    <t>Jump</t>
  </si>
  <si>
    <t>Place the contents of Rsrc1 into the PC</t>
  </si>
  <si>
    <t>0000_1000001_000000</t>
  </si>
  <si>
    <t>17</t>
  </si>
  <si>
    <t>JSR</t>
  </si>
  <si>
    <t>Jump to Subroutine</t>
  </si>
  <si>
    <t>Address of subroutine in Register Rsrc1, store return address in LINK register, which is always R30.</t>
  </si>
  <si>
    <t>0000_1000011_000000</t>
  </si>
  <si>
    <t>18</t>
  </si>
  <si>
    <t>RTS</t>
  </si>
  <si>
    <t>Return from Subroutine</t>
  </si>
  <si>
    <t>Rsrc1 contains the register number for the link register (R30).</t>
  </si>
  <si>
    <t>000001</t>
  </si>
  <si>
    <t>34</t>
  </si>
  <si>
    <t>ADD #</t>
  </si>
  <si>
    <t>Add immediate</t>
  </si>
  <si>
    <t>The immediate value is sign extended and added to the contents of Rsrc.  The result is stored in Rdst</t>
  </si>
  <si>
    <t>000100</t>
  </si>
  <si>
    <t>35</t>
  </si>
  <si>
    <t>SUB #</t>
  </si>
  <si>
    <t>Subtract immediate</t>
  </si>
  <si>
    <t>The immediate value is sign extended and subtracted from the contents of Rsrc.  The result is stored in Rdst</t>
  </si>
  <si>
    <t>001000</t>
  </si>
  <si>
    <t>36</t>
  </si>
  <si>
    <t>AND #</t>
  </si>
  <si>
    <t>The immediate value is padded with zeros on the left and ANDed with the contents of Rsrc.  The result is place in Rdst</t>
  </si>
  <si>
    <t>001001</t>
  </si>
  <si>
    <t>37</t>
  </si>
  <si>
    <t>OR #</t>
  </si>
  <si>
    <t>001011</t>
  </si>
  <si>
    <t>38</t>
  </si>
  <si>
    <t>XOR #</t>
  </si>
  <si>
    <t>Conditional Branches</t>
  </si>
  <si>
    <t>001100</t>
  </si>
  <si>
    <t>39</t>
  </si>
  <si>
    <t>BEQ</t>
  </si>
  <si>
    <t>Branch if EQual</t>
  </si>
  <si>
    <t>If the contents of the two registers are equal, add the 2's complement immediate value to the PC</t>
  </si>
  <si>
    <t>001010</t>
  </si>
  <si>
    <t>40</t>
  </si>
  <si>
    <t>BNE</t>
  </si>
  <si>
    <t>Branch if Not Equal</t>
  </si>
  <si>
    <t>001111</t>
  </si>
  <si>
    <t>41</t>
  </si>
  <si>
    <t>BLT</t>
  </si>
  <si>
    <t>Branch if Less Than</t>
  </si>
  <si>
    <t>If the unsigned contents of Rsrc are less than the contents of Rdst, add the 2's complement immediate value to the PC</t>
  </si>
  <si>
    <t>Load/Stores</t>
  </si>
  <si>
    <t>100000</t>
  </si>
  <si>
    <t>42</t>
  </si>
  <si>
    <t>LDA</t>
  </si>
  <si>
    <t>Load Absolute</t>
  </si>
  <si>
    <t>The immediate value is zero-filled to the left and used as an address. Rdst is then loaded from this address. This requires the adder in Figure 5.10 to be able to just pass the immediate value through (without adding to the PC), which requires an additional control line that is not implied by Figure 5.10</t>
  </si>
  <si>
    <t>010000</t>
  </si>
  <si>
    <t>43</t>
  </si>
  <si>
    <t>STA</t>
  </si>
  <si>
    <t>STore Absolute</t>
  </si>
  <si>
    <t>The immediate value is zero-filled to the left and used as an address. Rdst (yes, Rdst!) is then stored to this address. Requires modifications similar to the LDA instruction</t>
  </si>
  <si>
    <t>100001</t>
  </si>
  <si>
    <t>44</t>
  </si>
  <si>
    <t>LDIX</t>
  </si>
  <si>
    <t>LoaD IndeXed</t>
  </si>
  <si>
    <t>The unsigned immediate value is added to the contents of Rsrc to obtain the EA. Rdst is then loaded from the memory location EA</t>
  </si>
  <si>
    <t>010001</t>
  </si>
  <si>
    <t>45</t>
  </si>
  <si>
    <t>STIX</t>
  </si>
  <si>
    <t>STore IndeXed</t>
  </si>
  <si>
    <t>The unsigned immediate value is added to the contents of Rsrc to obtain the EA. Rdst is then stored to the memory location EA</t>
  </si>
  <si>
    <t>Unconditional Branches</t>
  </si>
  <si>
    <t>c</t>
  </si>
  <si>
    <t>110000</t>
  </si>
  <si>
    <t>64</t>
  </si>
  <si>
    <t>BRA</t>
  </si>
  <si>
    <t>Branch</t>
  </si>
  <si>
    <t>Add the 2's complement immediate value to the PC.  (wider address range than Bxx, probably more than we'll actually be able to test)</t>
  </si>
  <si>
    <t>110001</t>
  </si>
  <si>
    <t>65</t>
  </si>
  <si>
    <t>BSR</t>
  </si>
  <si>
    <t>Branch to SubRoutine</t>
  </si>
  <si>
    <t>Add the 2's complement immediate value to the PC and store return address in the LINK register, which is always R30.</t>
  </si>
  <si>
    <t>OP</t>
  </si>
  <si>
    <t>RTL Instruction</t>
  </si>
  <si>
    <t>Comments</t>
  </si>
  <si>
    <t>Compiler  Format</t>
  </si>
  <si>
    <t>MIF Instruction</t>
  </si>
  <si>
    <t>Instruction Format</t>
  </si>
  <si>
    <t>DEC Rdst</t>
  </si>
  <si>
    <t>DEC Src1</t>
  </si>
  <si>
    <t>DEC Src2</t>
  </si>
  <si>
    <t>DEC Immediate</t>
  </si>
  <si>
    <t>PC</t>
  </si>
  <si>
    <t>R[0]</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</si>
  <si>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</si>
  <si>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</si>
  <si>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</si>
  <si>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</si>
  <si>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</si>
  <si>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</si>
  <si>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</si>
  <si>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</si>
  <si>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</si>
  <si>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</si>
  <si>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</si>
  <si>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</si>
  <si>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</si>
  <si>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</si>
  <si>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</si>
  <si>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</si>
  <si>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</si>
  <si>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</si>
  <si>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</si>
  <si>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</si>
  <si>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</si>
  <si>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</si>
  <si>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</si>
  <si>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</si>
  <si>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</si>
  <si>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</si>
  <si>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</si>
  <si>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</si>
  <si>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</si>
  <si>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</si>
  <si>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</si>
  <si>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</si>
  <si>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RY &lt;= 0</t>
  </si>
  <si>
    <t>0000003F</t>
  </si>
  <si>
    <t>A</t>
  </si>
  <si>
    <t>-</t>
  </si>
  <si>
    <t>LD#</t>
  </si>
  <si>
    <t>R[0] &lt;= 0</t>
  </si>
  <si>
    <t>B</t>
  </si>
  <si>
    <t>ROM_Out</t>
  </si>
  <si>
    <t>IR_Out</t>
  </si>
  <si>
    <t>Immediate_Out</t>
  </si>
  <si>
    <t>RA</t>
  </si>
  <si>
    <t>Expected RA_Out</t>
  </si>
  <si>
    <t>RB</t>
  </si>
  <si>
    <t>Expected RB_Out</t>
  </si>
  <si>
    <t>Stage</t>
  </si>
  <si>
    <t>RZ_Out</t>
  </si>
  <si>
    <t>Expected RZ_Out</t>
  </si>
  <si>
    <t>RY_Out</t>
  </si>
  <si>
    <t>Expected RY_Out</t>
  </si>
  <si>
    <t>LDU#</t>
  </si>
  <si>
    <t>R[1] &lt;= 32768</t>
  </si>
  <si>
    <t>Validate LDU#</t>
  </si>
  <si>
    <t>HEX Instruction</t>
  </si>
  <si>
    <t>BIN Instructions</t>
  </si>
  <si>
    <t>HEX Value</t>
  </si>
  <si>
    <t>R[2] &lt;= -256</t>
  </si>
  <si>
    <t>Validate LD#</t>
  </si>
  <si>
    <t>00BFC022</t>
  </si>
  <si>
    <t>0000 0000 0000 0000 0000 0000 0011 1111</t>
  </si>
  <si>
    <t>R[2] &lt;=  - R[2]</t>
  </si>
  <si>
    <t>0000 0000 0000 0000 0000 0000 0010 0010</t>
  </si>
  <si>
    <t>00 00 0000</t>
  </si>
  <si>
    <t>00 00 0001</t>
  </si>
  <si>
    <t>R[3] &lt;= R[1] + R[2]</t>
  </si>
  <si>
    <t>0000 0000 0110 0000 0000 0000 0010 0011</t>
  </si>
  <si>
    <t>00 00 8000</t>
  </si>
  <si>
    <t>R[4] &lt;= R[3] - R[2]</t>
  </si>
  <si>
    <t>0000 0000 1011 1111 1100 0000 0010 0010</t>
  </si>
  <si>
    <t>FF FF FF00</t>
  </si>
  <si>
    <t>R[5] &lt;= R[1] &amp; R[2]</t>
  </si>
  <si>
    <t>088A0200</t>
  </si>
  <si>
    <t>0001 0000 0000 0100 0000 0010 1000 0000</t>
  </si>
  <si>
    <t>00 00 100A</t>
  </si>
  <si>
    <t>R[6] &lt;= R[1] | R[2]</t>
  </si>
  <si>
    <t>088C0240</t>
  </si>
  <si>
    <t>0000 1000 1000 0110 0000 0000 0100 0000</t>
  </si>
  <si>
    <t>00 00 1801</t>
  </si>
  <si>
    <t>00 00 0100</t>
  </si>
  <si>
    <t>R[7] &lt;= R[1] ^ R[2]</t>
  </si>
  <si>
    <t>088E02C0</t>
  </si>
  <si>
    <t>0001 1000 1000 1000 0000 0001 0000 0000</t>
  </si>
  <si>
    <t>00 00 2004</t>
  </si>
  <si>
    <t>00 00 7F00</t>
  </si>
  <si>
    <t>00 00 8100</t>
  </si>
  <si>
    <t>R[8] &lt;= ~R[2]</t>
  </si>
  <si>
    <t>0000 1000 1000 1010 0000 0010 0000 0000</t>
  </si>
  <si>
    <t>00 00 2808</t>
  </si>
  <si>
    <t>R[9] &lt;= R[2] &gt;&gt; 1 ; CARRY_FLAG &lt;= R[2]{0}</t>
  </si>
  <si>
    <t>0000 1000 1000 1100 0000 0010 0100 0000</t>
  </si>
  <si>
    <t>00 00 3009</t>
  </si>
  <si>
    <t>R[10] &lt;= R[3] &gt;&gt;&gt; 1</t>
  </si>
  <si>
    <t>0000 1000 1000 1110 0000 0010 1100 0000</t>
  </si>
  <si>
    <t>00 00 3806</t>
  </si>
  <si>
    <t>LSL_ASL</t>
  </si>
  <si>
    <t>R[11] &lt;= R[4] &lt;&lt; 1 ; CARRY_FLAG &lt;= R[4]{31}</t>
  </si>
  <si>
    <t>201604C0</t>
  </si>
  <si>
    <t>0001 0000 0001 0000 0000 0011 0000 0000</t>
  </si>
  <si>
    <t>00 00 400C</t>
  </si>
  <si>
    <t>FF FF 7F00</t>
  </si>
  <si>
    <t>R[12] &lt;= {CARRY_FLAG,R[5]{31:1}} ; CARRY_FLAG &lt;= R[5]{0}</t>
  </si>
  <si>
    <t>0001 0000 0001 0010 0000 0100 0000 0000</t>
  </si>
  <si>
    <t>C</t>
  </si>
  <si>
    <t>00 00 4810</t>
  </si>
  <si>
    <t>00 00 00FF</t>
  </si>
  <si>
    <t>FF FF FFFF</t>
  </si>
  <si>
    <t>R[13] &lt;= {R[6]{31:1},CARRY_FLAG} ; CARRY_FLAG &lt;= R[6]{31}</t>
  </si>
  <si>
    <t>301A0680</t>
  </si>
  <si>
    <t>0001 1000 0001 0100 0000 0100 0100 0000</t>
  </si>
  <si>
    <t>D</t>
  </si>
  <si>
    <t>00 00 5011</t>
  </si>
  <si>
    <t>7F FF FF80</t>
  </si>
  <si>
    <t>00 00 0080</t>
  </si>
  <si>
    <t>0010 0000 0001 0110 0000 0100 1100 0000</t>
  </si>
  <si>
    <t>E</t>
  </si>
  <si>
    <t>00 00 5813</t>
  </si>
  <si>
    <t>00 00 4080</t>
  </si>
  <si>
    <t>0010 1000 0001 1000 0000 0110 0100 0000</t>
  </si>
  <si>
    <t>F</t>
  </si>
  <si>
    <t>00 00 6019</t>
  </si>
  <si>
    <t>00 01 0000</t>
  </si>
  <si>
    <t>0011 0000 0001 1010 0000 0110 1000 0000</t>
  </si>
  <si>
    <t>00 00 681A</t>
  </si>
  <si>
    <t>00 01 0200</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</si>
  <si>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</si>
  <si>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</si>
  <si>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</si>
  <si>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</si>
  <si>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</si>
  <si>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</si>
  <si>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</si>
  <si>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</si>
  <si>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</si>
  <si>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</si>
  <si>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</si>
  <si>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</si>
  <si>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</si>
  <si>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</si>
  <si>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</si>
  <si>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</si>
  <si>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</si>
  <si>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</si>
  <si>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</si>
  <si>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</si>
  <si>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</si>
  <si>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</si>
  <si>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</si>
  <si>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</si>
  <si>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</si>
  <si>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</si>
  <si>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</si>
  <si>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</si>
  <si>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</si>
  <si>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</si>
  <si>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</si>
  <si>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FF00</t>
  </si>
  <si>
    <t>LD</t>
  </si>
  <si>
    <t>Format A ===</t>
  </si>
  <si>
    <t xml:space="preserve">Format  </t>
  </si>
  <si>
    <t xml:space="preserve">OPName </t>
  </si>
  <si>
    <t xml:space="preserve">Rdestination  </t>
  </si>
  <si>
    <t xml:space="preserve">Rsource1  </t>
  </si>
  <si>
    <t>Rsource2</t>
  </si>
  <si>
    <t>Format B ===</t>
  </si>
  <si>
    <t>Rsource1</t>
  </si>
  <si>
    <t xml:space="preserve">             </t>
  </si>
  <si>
    <t>ImmediateValue</t>
  </si>
  <si>
    <t>Format C ===</t>
  </si>
  <si>
    <t>Kyle's Compiler Key</t>
  </si>
  <si>
    <t>Validate No Operation</t>
  </si>
  <si>
    <t>HEX Immediate</t>
  </si>
  <si>
    <t>HEX Contents Of The Register File</t>
  </si>
  <si>
    <t>LDU</t>
  </si>
  <si>
    <t>Validate ADD Without An Overflow -- 16 Bit Immdiate Values Will Not Produce Overflow</t>
  </si>
  <si>
    <t>Validate Twos Complement Negation (Negative Flag)</t>
  </si>
  <si>
    <t>Validate SUB  (Zero Flag)</t>
  </si>
  <si>
    <t>Validate Bitwise AnD</t>
  </si>
  <si>
    <t>Validate Bitwise OR</t>
  </si>
  <si>
    <t>Validate Bitwise XOR</t>
  </si>
  <si>
    <t>Validate Bitwise One's Complement -- Twos Comp Minus One</t>
  </si>
  <si>
    <t>Flags</t>
  </si>
  <si>
    <t>ZERO_FLAG</t>
  </si>
  <si>
    <t>NEGATIVE_FLAG</t>
  </si>
  <si>
    <t>Validate Logical Shift Left One Bit</t>
  </si>
  <si>
    <t>Validate Logical Shift Right One Bit</t>
  </si>
  <si>
    <t>Validate Arithmetical Shift Left One Bit</t>
  </si>
  <si>
    <t>Validate Arithmetical Shift Right One Bit</t>
  </si>
  <si>
    <t>Validate Rotate With Carry Left One Bit</t>
  </si>
  <si>
    <t>Validate Rotate With Carry Right One Bit</t>
  </si>
  <si>
    <t>CARRY_FLAG</t>
  </si>
  <si>
    <t>Validate ADD Immediate Without An Overflow -- 16 Bit Immdiate Values Will Not Produce Overflow</t>
  </si>
  <si>
    <t>IF(OR(F12="LD",F12="LDU",F12="ADD",F12="SUB",F12="AND",F12="OR",F12="XOR"),1,0)</t>
  </si>
  <si>
    <t>Validate Store Absolute</t>
  </si>
  <si>
    <t>Validate Load Absolute</t>
  </si>
  <si>
    <t>Validate Store Indexed</t>
  </si>
  <si>
    <t>Validate Load Indexed</t>
  </si>
  <si>
    <t>Validate Move/Copy</t>
  </si>
  <si>
    <t>1000_0000_0000_0000_000_0000_0000_0000</t>
  </si>
  <si>
    <t>RORwC=1</t>
  </si>
  <si>
    <t>0000_0000_0000_0000_000_0000_0000_0000</t>
  </si>
  <si>
    <t>0000_0000_0000_0001_0000_0010_0000_0001</t>
  </si>
  <si>
    <t>ROLwC=1</t>
  </si>
  <si>
    <t>0000_0000_0000_0001_0000_0010_0000_0000</t>
  </si>
  <si>
    <t>ROLwC=0</t>
  </si>
  <si>
    <t>0000_0000_0000_0000_1000_0001_0000_0000</t>
  </si>
  <si>
    <t>0000_0000_0000_0001_0000_0000_0000_0000</t>
  </si>
  <si>
    <t>0000_0000_0000_0000_1000_0000_0000_0000</t>
  </si>
  <si>
    <t>0000_0000_0000_0000_0100_0000_1000_0000</t>
  </si>
  <si>
    <t>0000_0000_0000_0000_0000_0000_1000_0000</t>
  </si>
  <si>
    <t>0000_0000_0000_0000_0000_0001_0000_0000</t>
  </si>
  <si>
    <t>0000_0001_0000_0000</t>
  </si>
  <si>
    <t>1111_1111_0000_0000</t>
  </si>
  <si>
    <t>1000_0000_0000_0000</t>
  </si>
  <si>
    <t>0000_0000_0000_0000</t>
  </si>
  <si>
    <t>4C0</t>
  </si>
  <si>
    <t>2C0</t>
  </si>
  <si>
    <t>3F</t>
  </si>
  <si>
    <t>HEX OP Code</t>
  </si>
  <si>
    <t>HEX Rdst</t>
  </si>
  <si>
    <t>HEX Src2</t>
  </si>
  <si>
    <t>HEX Src1</t>
  </si>
  <si>
    <t>0000_0000000_111111</t>
  </si>
  <si>
    <t>BIN Instruction</t>
  </si>
  <si>
    <t>BIN Immediate</t>
  </si>
  <si>
    <t>BIN OP Code</t>
  </si>
  <si>
    <t>Fourney BIN OP Code</t>
  </si>
  <si>
    <t>BIN Rdst</t>
  </si>
  <si>
    <t>BIN Src2</t>
  </si>
  <si>
    <t>BIN Src1</t>
  </si>
  <si>
    <t>Conventionally RSRC1</t>
  </si>
  <si>
    <t>Conventionally RDST</t>
  </si>
  <si>
    <t>Conventionally RSRC2</t>
  </si>
  <si>
    <t>JSR, RTS</t>
  </si>
  <si>
    <t>Validate Load Base With Index</t>
  </si>
  <si>
    <t>Validate Load Register Indirect</t>
  </si>
  <si>
    <t>BEQ/BLT/BNE</t>
  </si>
  <si>
    <t>Will Be Very Similar, But Need To Be In 3 Separate Sheets</t>
  </si>
  <si>
    <t>Instruction</t>
  </si>
  <si>
    <t>RTL</t>
  </si>
  <si>
    <t>MIF</t>
  </si>
  <si>
    <t>MEM_DATA_OUT</t>
  </si>
  <si>
    <t>ALREADY CALCULATED DYNAMICALLY</t>
  </si>
  <si>
    <t>GIVEN</t>
  </si>
  <si>
    <t>Validate Jump PC to RSRC1</t>
  </si>
  <si>
    <t>Validate Jump PC to Subroutine</t>
  </si>
  <si>
    <t>Validate Return From Subroutine</t>
  </si>
  <si>
    <t>Validate Branch if Equal To</t>
  </si>
  <si>
    <t>Validate Branch if NOT Equal To</t>
  </si>
  <si>
    <t>Validate Branch if Less Than</t>
  </si>
  <si>
    <t>Max IMMEDIATE</t>
  </si>
  <si>
    <t>KEY, Edit Minamally</t>
  </si>
  <si>
    <t>Test Set Format</t>
  </si>
  <si>
    <t>MEMORY</t>
  </si>
  <si>
    <t>REGISTER FILE (0-&gt;31)</t>
  </si>
  <si>
    <t>MEM_ERROR(EA&gt;127)</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</si>
  <si>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</si>
  <si>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</si>
  <si>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</si>
  <si>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</si>
  <si>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</si>
  <si>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</si>
  <si>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</si>
  <si>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</si>
  <si>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</si>
  <si>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</si>
  <si>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</si>
  <si>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</si>
  <si>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</si>
  <si>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</si>
  <si>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</si>
  <si>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</si>
  <si>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</si>
  <si>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</si>
  <si>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</si>
  <si>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</si>
  <si>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</si>
  <si>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</si>
  <si>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</si>
  <si>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</si>
  <si>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</si>
  <si>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</si>
  <si>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</si>
  <si>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</si>
  <si>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</si>
  <si>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</si>
  <si>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</si>
  <si>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</si>
  <si>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</si>
  <si>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</si>
  <si>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</si>
  <si>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</si>
  <si>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</si>
  <si>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</si>
  <si>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</si>
  <si>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</si>
  <si>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</si>
  <si>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</si>
  <si>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</si>
  <si>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</si>
  <si>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</si>
  <si>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</si>
  <si>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</si>
  <si>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</si>
  <si>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</si>
  <si>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</si>
  <si>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</si>
  <si>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</si>
  <si>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</si>
  <si>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</si>
  <si>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</si>
  <si>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</si>
  <si>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</si>
  <si>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</si>
  <si>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</si>
  <si>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</si>
  <si>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</si>
  <si>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</si>
  <si>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</si>
  <si>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</si>
  <si>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REGISTER FILE</t>
  </si>
  <si>
    <t>ROM(0-&gt;63)</t>
  </si>
  <si>
    <t>RAM(64-&gt;127)</t>
  </si>
  <si>
    <t>Debugging Format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</si>
</sst>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00000000000000000000"/>
    <numFmt numFmtId="165" formatCode="0000000000000000"/>
    <numFmt numFmtId="166" formatCode="00000000"/>
    <numFmt numFmtId="167" formatCode="0.00E+000"/>
    <numFmt numFmtId="168" formatCode="00000"/>
    <numFmt numFmtId="169" formatCode="000000"/>
  </numFmts>
  <fonts count="12">
    <font>
      <sz val="12"/>
      <color rgb="FF000000"/>
      <name val="Calibri"/>
      <family val="2"/>
      <charset val="1"/>
    </font>
    <font>
      <sz val="12"/>
      <name val="Calibri"/>
      <family val="2"/>
      <charset val="1"/>
    </font>
    <font>
      <sz val="12"/>
      <name val="CMTT12"/>
      <charset val="1"/>
    </font>
    <font>
      <b/>
      <sz val="14"/>
      <name val="Calibri"/>
      <family val="2"/>
      <charset val="1"/>
    </font>
    <font>
      <b/>
      <sz val="12"/>
      <name val="Calibri"/>
      <family val="2"/>
      <charset val="1"/>
    </font>
    <font>
      <b/>
      <sz val="12"/>
      <color rgb="FF000000"/>
      <name val="Calibri"/>
      <family val="2"/>
      <charset val="1"/>
    </font>
    <font>
      <b/>
      <sz val="12"/>
      <color rgb="FF222222"/>
      <name val="Calibri"/>
      <family val="2"/>
      <charset val="1"/>
    </font>
    <font>
      <sz val="12"/>
      <color rgb="FF222222"/>
      <name val="Calibri"/>
      <family val="2"/>
      <charset val="1"/>
    </font>
    <font>
      <sz val="12"/>
      <color rgb="FF000000"/>
      <name val="Calibri"/>
      <family val="2"/>
    </font>
    <font>
      <sz val="12"/>
      <color rgb="FF222222"/>
      <name val="Calibri"/>
      <family val="2"/>
    </font>
    <font>
      <b/>
      <sz val="12"/>
      <color rgb="FF000000"/>
      <name val="Calibri"/>
      <family val="2"/>
    </font>
    <font>
      <sz val="12"/>
      <name val="Calibri"/>
      <family val="2"/>
    </font>
  </fonts>
  <fills count="14">
    <fill>
      <patternFill patternType="none"/>
    </fill>
    <fill>
      <patternFill patternType="gray125"/>
    </fill>
    <fill>
      <patternFill patternType="solid">
        <fgColor rgb="FFC4BD97"/>
        <bgColor rgb="FF94BD5E"/>
      </patternFill>
    </fill>
    <fill>
      <patternFill patternType="solid">
        <fgColor rgb="FFFFFF00"/>
        <bgColor rgb="FFFFFF00"/>
      </patternFill>
    </fill>
    <fill>
      <patternFill patternType="solid">
        <fgColor rgb="FFCFE7F5"/>
        <bgColor rgb="FFCCFFFF"/>
      </patternFill>
    </fill>
    <fill>
      <patternFill patternType="solid">
        <fgColor rgb="FF729FCF"/>
        <bgColor rgb="FF969696"/>
      </patternFill>
    </fill>
    <fill>
      <patternFill patternType="solid">
        <fgColor rgb="FFDC2300"/>
        <bgColor rgb="FFFF0000"/>
      </patternFill>
    </fill>
    <fill>
      <patternFill patternType="solid">
        <fgColor rgb="FFFFFF0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C000"/>
        <bgColor indexed="64"/>
      </patternFill>
    </fill>
    <fill>
      <patternFill patternType="solid">
        <fgColor theme="3" tint="0.39997558519241921"/>
        <bgColor indexed="64"/>
      </patternFill>
    </fill>
    <fill>
      <patternFill patternType="solid">
        <fgColor rgb="FF33CC66"/>
        <bgColor rgb="FF339966"/>
      </patternFill>
    </fill>
  </fills>
  <borders count="98">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style="thick">
        <color auto="1"/>
      </bottom>
      <diagonal/>
    </border>
    <border>
      <left style="hair">
        <color auto="1"/>
      </left>
      <right style="hair">
        <color auto="1"/>
      </right>
      <top style="hair">
        <color auto="1"/>
      </top>
      <bottom style="hair">
        <color auto="1"/>
      </bottom>
      <diagonal/>
    </border>
    <border>
      <left style="thick">
        <color auto="1"/>
      </left>
      <right/>
      <top style="thick">
        <color auto="1"/>
      </top>
      <bottom style="thick">
        <color auto="1"/>
      </bottom>
      <diagonal/>
    </border>
    <border>
      <left style="thin">
        <color indexed="64"/>
      </left>
      <right style="thin">
        <color indexed="64"/>
      </right>
      <top style="thin">
        <color indexed="64"/>
      </top>
      <bottom style="thin">
        <color indexed="64"/>
      </bottom>
      <diagonal/>
    </border>
    <border>
      <left style="thick">
        <color auto="1"/>
      </left>
      <right style="thick">
        <color auto="1"/>
      </right>
      <top style="thick">
        <color auto="1"/>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ck">
        <color auto="1"/>
      </right>
      <top style="medium">
        <color indexed="64"/>
      </top>
      <bottom style="thick">
        <color auto="1"/>
      </bottom>
      <diagonal/>
    </border>
    <border>
      <left style="thick">
        <color auto="1"/>
      </left>
      <right style="thick">
        <color auto="1"/>
      </right>
      <top style="medium">
        <color indexed="64"/>
      </top>
      <bottom style="thick">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ck">
        <color auto="1"/>
      </right>
      <top/>
      <bottom style="thick">
        <color auto="1"/>
      </bottom>
      <diagonal/>
    </border>
    <border>
      <left style="thin">
        <color indexed="64"/>
      </left>
      <right style="medium">
        <color indexed="64"/>
      </right>
      <top style="thin">
        <color indexed="64"/>
      </top>
      <bottom style="thin">
        <color indexed="64"/>
      </bottom>
      <diagonal/>
    </border>
    <border>
      <left style="medium">
        <color indexed="64"/>
      </left>
      <right style="thick">
        <color auto="1"/>
      </right>
      <top/>
      <bottom style="medium">
        <color indexed="64"/>
      </bottom>
      <diagonal/>
    </border>
    <border>
      <left style="thick">
        <color auto="1"/>
      </left>
      <right style="thick">
        <color auto="1"/>
      </right>
      <top style="thick">
        <color auto="1"/>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ck">
        <color auto="1"/>
      </right>
      <top style="thick">
        <color auto="1"/>
      </top>
      <bottom style="thick">
        <color auto="1"/>
      </bottom>
      <diagonal/>
    </border>
    <border>
      <left style="thick">
        <color auto="1"/>
      </left>
      <right style="medium">
        <color indexed="64"/>
      </right>
      <top style="medium">
        <color indexed="64"/>
      </top>
      <bottom style="thick">
        <color auto="1"/>
      </bottom>
      <diagonal/>
    </border>
    <border>
      <left style="thick">
        <color auto="1"/>
      </left>
      <right style="medium">
        <color indexed="64"/>
      </right>
      <top style="thick">
        <color auto="1"/>
      </top>
      <bottom style="thick">
        <color auto="1"/>
      </bottom>
      <diagonal/>
    </border>
    <border>
      <left style="thick">
        <color auto="1"/>
      </left>
      <right style="medium">
        <color indexed="64"/>
      </right>
      <top style="thick">
        <color auto="1"/>
      </top>
      <bottom style="medium">
        <color indexed="64"/>
      </bottom>
      <diagonal/>
    </border>
    <border>
      <left style="medium">
        <color indexed="64"/>
      </left>
      <right/>
      <top/>
      <bottom/>
      <diagonal/>
    </border>
    <border>
      <left/>
      <right style="medium">
        <color indexed="64"/>
      </right>
      <top/>
      <bottom/>
      <diagonal/>
    </border>
    <border>
      <left style="medium">
        <color indexed="64"/>
      </left>
      <right style="thick">
        <color auto="1"/>
      </right>
      <top style="thick">
        <color auto="1"/>
      </top>
      <bottom style="medium">
        <color indexed="64"/>
      </bottom>
      <diagonal/>
    </border>
    <border>
      <left style="thick">
        <color auto="1"/>
      </left>
      <right style="medium">
        <color indexed="64"/>
      </right>
      <top/>
      <bottom style="thick">
        <color auto="1"/>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thick">
        <color auto="1"/>
      </right>
      <top style="medium">
        <color indexed="64"/>
      </top>
      <bottom style="medium">
        <color indexed="64"/>
      </bottom>
      <diagonal/>
    </border>
    <border>
      <left style="thick">
        <color auto="1"/>
      </left>
      <right style="thick">
        <color auto="1"/>
      </right>
      <top style="medium">
        <color indexed="64"/>
      </top>
      <bottom style="medium">
        <color indexed="64"/>
      </bottom>
      <diagonal/>
    </border>
    <border>
      <left style="thick">
        <color auto="1"/>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ck">
        <color auto="1"/>
      </right>
      <top style="thick">
        <color auto="1"/>
      </top>
      <bottom/>
      <diagonal/>
    </border>
    <border>
      <left style="thick">
        <color auto="1"/>
      </left>
      <right style="medium">
        <color indexed="64"/>
      </right>
      <top style="thick">
        <color auto="1"/>
      </top>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right style="thick">
        <color auto="1"/>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ck">
        <color auto="1"/>
      </left>
      <right style="thick">
        <color auto="1"/>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ck">
        <color auto="1"/>
      </left>
      <right/>
      <top style="medium">
        <color indexed="64"/>
      </top>
      <bottom style="thick">
        <color auto="1"/>
      </bottom>
      <diagonal/>
    </border>
    <border>
      <left style="medium">
        <color indexed="64"/>
      </left>
      <right style="medium">
        <color indexed="64"/>
      </right>
      <top style="medium">
        <color indexed="64"/>
      </top>
      <bottom style="thick">
        <color auto="1"/>
      </bottom>
      <diagonal/>
    </border>
    <border>
      <left style="medium">
        <color indexed="64"/>
      </left>
      <right style="medium">
        <color indexed="64"/>
      </right>
      <top style="thick">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ck">
        <color auto="1"/>
      </right>
      <top style="medium">
        <color indexed="64"/>
      </top>
      <bottom/>
      <diagonal/>
    </border>
    <border>
      <left style="thick">
        <color auto="1"/>
      </left>
      <right style="thick">
        <color auto="1"/>
      </right>
      <top style="medium">
        <color indexed="64"/>
      </top>
      <bottom/>
      <diagonal/>
    </border>
    <border>
      <left style="thick">
        <color auto="1"/>
      </left>
      <right style="medium">
        <color indexed="64"/>
      </right>
      <top style="medium">
        <color indexed="64"/>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ck">
        <color auto="1"/>
      </left>
      <right/>
      <top style="medium">
        <color indexed="64"/>
      </top>
      <bottom/>
      <diagonal/>
    </border>
    <border>
      <left style="thick">
        <color auto="1"/>
      </left>
      <right/>
      <top style="medium">
        <color indexed="64"/>
      </top>
      <bottom style="medium">
        <color indexed="64"/>
      </bottom>
      <diagonal/>
    </border>
    <border>
      <left style="thick">
        <color auto="1"/>
      </left>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ck">
        <color auto="1"/>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ck">
        <color auto="1"/>
      </top>
      <bottom style="thick">
        <color auto="1"/>
      </bottom>
      <diagonal/>
    </border>
    <border>
      <left style="thin">
        <color indexed="64"/>
      </left>
      <right style="medium">
        <color indexed="64"/>
      </right>
      <top/>
      <bottom/>
      <diagonal/>
    </border>
    <border>
      <left/>
      <right style="medium">
        <color indexed="64"/>
      </right>
      <top style="medium">
        <color indexed="64"/>
      </top>
      <bottom/>
      <diagonal/>
    </border>
  </borders>
  <cellStyleXfs count="1">
    <xf numFmtId="0" fontId="0" fillId="0" borderId="0"/>
  </cellStyleXfs>
  <cellXfs count="401">
    <xf numFmtId="0" fontId="0" fillId="0" borderId="0" xfId="0"/>
    <xf numFmtId="0" fontId="1" fillId="0" borderId="0" xfId="0" applyFont="1"/>
    <xf numFmtId="49" fontId="2" fillId="0" borderId="0" xfId="0" applyNumberFormat="1" applyFont="1"/>
    <xf numFmtId="0" fontId="2" fillId="0" borderId="0" xfId="0" applyFont="1"/>
    <xf numFmtId="49" fontId="3" fillId="0" borderId="0" xfId="0" applyNumberFormat="1" applyFont="1" applyAlignment="1">
      <alignment horizontal="center"/>
    </xf>
    <xf numFmtId="0" fontId="1" fillId="0" borderId="0" xfId="0" applyFont="1" applyAlignment="1">
      <alignment horizontal="center"/>
    </xf>
    <xf numFmtId="49" fontId="1" fillId="0" borderId="0" xfId="0" applyNumberFormat="1" applyFont="1" applyAlignment="1">
      <alignment horizontal="center" vertical="center"/>
    </xf>
    <xf numFmtId="0" fontId="1" fillId="0" borderId="0" xfId="0" applyFont="1" applyAlignment="1">
      <alignment horizontal="center" vertical="center"/>
    </xf>
    <xf numFmtId="2" fontId="1" fillId="0" borderId="0" xfId="0" applyNumberFormat="1" applyFont="1" applyAlignment="1">
      <alignment horizontal="center" vertical="center"/>
    </xf>
    <xf numFmtId="49" fontId="4" fillId="0" borderId="0" xfId="0" applyNumberFormat="1" applyFont="1" applyAlignment="1">
      <alignment horizontal="center" vertical="center"/>
    </xf>
    <xf numFmtId="2" fontId="4" fillId="0" borderId="0" xfId="0" applyNumberFormat="1" applyFont="1" applyAlignment="1">
      <alignment horizontal="center" vertical="center"/>
    </xf>
    <xf numFmtId="0" fontId="1" fillId="0" borderId="0" xfId="0" applyFont="1" applyAlignment="1">
      <alignment vertical="center"/>
    </xf>
    <xf numFmtId="49" fontId="1" fillId="0" borderId="0" xfId="0" applyNumberFormat="1" applyFont="1" applyAlignment="1">
      <alignment vertical="center"/>
    </xf>
    <xf numFmtId="2" fontId="1" fillId="0" borderId="0" xfId="0" applyNumberFormat="1" applyFont="1" applyAlignment="1">
      <alignment vertical="center"/>
    </xf>
    <xf numFmtId="49" fontId="4" fillId="0" borderId="0" xfId="0" applyNumberFormat="1" applyFont="1" applyAlignment="1">
      <alignment horizontal="center"/>
    </xf>
    <xf numFmtId="49" fontId="1" fillId="0" borderId="0" xfId="0" applyNumberFormat="1" applyFont="1"/>
    <xf numFmtId="0" fontId="0" fillId="0" borderId="0" xfId="0" applyFont="1" applyAlignment="1">
      <alignment horizontal="center" vertical="center"/>
    </xf>
    <xf numFmtId="1" fontId="0" fillId="0" borderId="0" xfId="0" applyNumberFormat="1" applyFont="1" applyAlignment="1">
      <alignment horizontal="center" vertical="center"/>
    </xf>
    <xf numFmtId="164" fontId="0" fillId="0" borderId="0" xfId="0" applyNumberFormat="1" applyFont="1" applyAlignment="1">
      <alignment horizontal="center" vertical="center"/>
    </xf>
    <xf numFmtId="0" fontId="0" fillId="0" borderId="0" xfId="0" applyFont="1" applyAlignment="1">
      <alignment horizontal="center" vertical="center" wrapText="1"/>
    </xf>
    <xf numFmtId="1" fontId="0" fillId="0" borderId="0" xfId="0" applyNumberFormat="1" applyFont="1" applyAlignment="1">
      <alignment horizontal="center" vertical="center" wrapText="1"/>
    </xf>
    <xf numFmtId="164" fontId="0" fillId="0" borderId="0" xfId="0" applyNumberFormat="1" applyFont="1" applyAlignment="1">
      <alignment horizontal="center" vertical="center" wrapText="1"/>
    </xf>
    <xf numFmtId="0" fontId="0" fillId="0" borderId="1" xfId="0" applyFont="1" applyBorder="1" applyAlignment="1">
      <alignment horizontal="center" vertical="center" wrapText="1"/>
    </xf>
    <xf numFmtId="0" fontId="0" fillId="0" borderId="0" xfId="0" applyFont="1" applyBorder="1" applyAlignment="1">
      <alignment horizontal="center" vertical="center" wrapText="1"/>
    </xf>
    <xf numFmtId="0" fontId="0" fillId="0" borderId="2" xfId="0" applyFont="1" applyBorder="1" applyAlignment="1">
      <alignment horizontal="center" vertical="center" wrapText="1"/>
    </xf>
    <xf numFmtId="1" fontId="0" fillId="0" borderId="0" xfId="0" applyNumberFormat="1" applyFont="1" applyBorder="1" applyAlignment="1">
      <alignment horizontal="center" vertical="center" wrapText="1"/>
    </xf>
    <xf numFmtId="1" fontId="1" fillId="0" borderId="0" xfId="0" applyNumberFormat="1" applyFont="1" applyAlignment="1">
      <alignment horizontal="center" vertical="center"/>
    </xf>
    <xf numFmtId="0" fontId="5" fillId="0" borderId="0" xfId="0" applyFont="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0" fillId="0" borderId="3" xfId="0" applyFont="1" applyBorder="1" applyAlignment="1">
      <alignment horizontal="center" vertical="center"/>
    </xf>
    <xf numFmtId="164" fontId="1" fillId="5" borderId="3" xfId="0" applyNumberFormat="1" applyFont="1" applyFill="1" applyBorder="1" applyAlignment="1">
      <alignment horizontal="center" vertical="center" wrapText="1"/>
    </xf>
    <xf numFmtId="165" fontId="1" fillId="5" borderId="3" xfId="0" applyNumberFormat="1" applyFont="1" applyFill="1" applyBorder="1" applyAlignment="1">
      <alignment horizontal="center" vertical="center"/>
    </xf>
    <xf numFmtId="1" fontId="1" fillId="0" borderId="3" xfId="0" applyNumberFormat="1" applyFont="1" applyBorder="1" applyAlignment="1">
      <alignment horizontal="center" vertical="center"/>
    </xf>
    <xf numFmtId="165" fontId="1" fillId="0" borderId="3" xfId="0" applyNumberFormat="1" applyFont="1" applyBorder="1" applyAlignment="1">
      <alignment horizontal="center" vertical="center"/>
    </xf>
    <xf numFmtId="166" fontId="1" fillId="5" borderId="3" xfId="0" applyNumberFormat="1" applyFont="1" applyFill="1" applyBorder="1" applyAlignment="1">
      <alignment horizontal="center" vertical="center"/>
    </xf>
    <xf numFmtId="164" fontId="1" fillId="5" borderId="3" xfId="0" applyNumberFormat="1" applyFont="1" applyFill="1" applyBorder="1" applyAlignment="1">
      <alignment horizontal="center" vertical="center"/>
    </xf>
    <xf numFmtId="0" fontId="1" fillId="5" borderId="3" xfId="0" applyFont="1" applyFill="1" applyBorder="1" applyAlignment="1">
      <alignment horizontal="center"/>
    </xf>
    <xf numFmtId="0" fontId="0" fillId="0" borderId="3" xfId="0" applyFont="1" applyBorder="1" applyAlignment="1">
      <alignment horizontal="center"/>
    </xf>
    <xf numFmtId="0" fontId="6" fillId="0" borderId="0" xfId="0" applyFont="1" applyAlignment="1">
      <alignment horizontal="center" vertical="center"/>
    </xf>
    <xf numFmtId="0" fontId="1" fillId="3" borderId="3" xfId="0" applyFont="1" applyFill="1" applyBorder="1" applyAlignment="1">
      <alignment horizontal="center" vertical="center"/>
    </xf>
    <xf numFmtId="0" fontId="7" fillId="0" borderId="0" xfId="0" applyFont="1" applyAlignment="1">
      <alignment horizontal="center" vertical="center"/>
    </xf>
    <xf numFmtId="0" fontId="0" fillId="6" borderId="3" xfId="0" applyFont="1" applyFill="1" applyBorder="1" applyAlignment="1">
      <alignment horizontal="center" vertical="center"/>
    </xf>
    <xf numFmtId="167" fontId="0" fillId="0" borderId="0" xfId="0" applyNumberFormat="1" applyAlignment="1">
      <alignment horizontal="center"/>
    </xf>
    <xf numFmtId="164" fontId="1" fillId="0" borderId="0" xfId="0" applyNumberFormat="1" applyFont="1" applyAlignment="1">
      <alignment horizontal="center" vertical="center"/>
    </xf>
    <xf numFmtId="0" fontId="0" fillId="0" borderId="4" xfId="0" applyFont="1" applyBorder="1" applyAlignment="1">
      <alignment horizontal="center" vertical="center" wrapText="1"/>
    </xf>
    <xf numFmtId="164" fontId="5" fillId="0" borderId="0" xfId="0" applyNumberFormat="1" applyFont="1" applyAlignment="1">
      <alignment horizontal="center" vertical="center"/>
    </xf>
    <xf numFmtId="0" fontId="0" fillId="0" borderId="0" xfId="0"/>
    <xf numFmtId="0" fontId="0" fillId="0" borderId="6" xfId="0" applyFont="1" applyBorder="1" applyAlignment="1">
      <alignment horizontal="center" vertical="center" wrapText="1"/>
    </xf>
    <xf numFmtId="0" fontId="0" fillId="0" borderId="5" xfId="0" applyFont="1" applyBorder="1" applyAlignment="1">
      <alignment horizontal="center" vertical="center" wrapText="1"/>
    </xf>
    <xf numFmtId="1" fontId="0" fillId="0" borderId="5" xfId="0" applyNumberFormat="1" applyFont="1" applyBorder="1" applyAlignment="1">
      <alignment horizontal="center" vertical="center" wrapText="1"/>
    </xf>
    <xf numFmtId="49" fontId="0" fillId="0" borderId="5"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0" fontId="0" fillId="0" borderId="8" xfId="0" applyFont="1" applyBorder="1" applyAlignment="1">
      <alignment horizontal="center" vertical="center" wrapText="1"/>
    </xf>
    <xf numFmtId="1" fontId="0" fillId="0" borderId="8"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0" fontId="0" fillId="0" borderId="10" xfId="0" applyFont="1" applyBorder="1" applyAlignment="1">
      <alignment horizontal="center" vertical="center" wrapText="1"/>
    </xf>
    <xf numFmtId="1" fontId="0" fillId="0" borderId="10" xfId="0" applyNumberFormat="1" applyFont="1" applyBorder="1" applyAlignment="1">
      <alignment horizontal="center" vertical="center" wrapText="1"/>
    </xf>
    <xf numFmtId="0" fontId="0" fillId="0" borderId="12" xfId="0" applyFont="1" applyBorder="1" applyAlignment="1">
      <alignment horizontal="center" vertical="center" wrapText="1"/>
    </xf>
    <xf numFmtId="0" fontId="0" fillId="0" borderId="13" xfId="0" applyFont="1" applyBorder="1" applyAlignment="1">
      <alignment horizontal="center" vertical="center" wrapText="1"/>
    </xf>
    <xf numFmtId="49" fontId="0" fillId="0" borderId="14" xfId="0" applyNumberFormat="1" applyFont="1" applyBorder="1" applyAlignment="1">
      <alignment horizontal="center" vertical="center" wrapText="1"/>
    </xf>
    <xf numFmtId="0" fontId="0" fillId="0" borderId="14" xfId="0" applyFont="1" applyBorder="1" applyAlignment="1">
      <alignment horizontal="center" vertical="center" wrapText="1"/>
    </xf>
    <xf numFmtId="1" fontId="0" fillId="0" borderId="14" xfId="0" applyNumberFormat="1" applyFont="1" applyBorder="1" applyAlignment="1">
      <alignment horizontal="center" vertical="center" wrapText="1"/>
    </xf>
    <xf numFmtId="0" fontId="0" fillId="0" borderId="17" xfId="0" applyFont="1" applyBorder="1" applyAlignment="1">
      <alignment horizontal="center" vertical="center" wrapText="1"/>
    </xf>
    <xf numFmtId="0" fontId="0" fillId="7" borderId="19" xfId="0" applyFont="1" applyFill="1" applyBorder="1" applyAlignment="1">
      <alignment horizontal="center" vertical="center" wrapText="1"/>
    </xf>
    <xf numFmtId="0" fontId="0" fillId="0" borderId="20" xfId="0" applyFont="1" applyBorder="1" applyAlignment="1">
      <alignment horizontal="center" vertical="center" wrapText="1"/>
    </xf>
    <xf numFmtId="49" fontId="0" fillId="0" borderId="21" xfId="0" applyNumberFormat="1" applyFont="1" applyBorder="1" applyAlignment="1">
      <alignment horizontal="center" vertical="center" wrapText="1"/>
    </xf>
    <xf numFmtId="0" fontId="0" fillId="0" borderId="21" xfId="0" applyFont="1" applyBorder="1" applyAlignment="1">
      <alignment horizontal="center" vertical="center" wrapText="1"/>
    </xf>
    <xf numFmtId="1" fontId="0" fillId="0" borderId="21" xfId="0" applyNumberFormat="1" applyFont="1" applyBorder="1" applyAlignment="1">
      <alignment horizontal="center" vertical="center" wrapText="1"/>
    </xf>
    <xf numFmtId="0" fontId="0" fillId="0" borderId="7" xfId="0" applyNumberFormat="1" applyFont="1" applyBorder="1" applyAlignment="1">
      <alignment horizontal="center" vertical="center" wrapText="1"/>
    </xf>
    <xf numFmtId="0" fontId="0" fillId="0" borderId="9" xfId="0" applyNumberFormat="1" applyFont="1" applyBorder="1" applyAlignment="1">
      <alignment horizontal="center" vertical="center" wrapText="1"/>
    </xf>
    <xf numFmtId="0" fontId="0" fillId="0" borderId="15" xfId="0" applyNumberFormat="1" applyFont="1" applyBorder="1" applyAlignment="1">
      <alignment horizontal="center" vertical="center" wrapText="1"/>
    </xf>
    <xf numFmtId="0" fontId="0" fillId="0" borderId="22" xfId="0" applyNumberFormat="1" applyFont="1" applyBorder="1" applyAlignment="1">
      <alignment horizontal="center" vertical="center" wrapText="1"/>
    </xf>
    <xf numFmtId="0" fontId="0" fillId="0" borderId="11" xfId="0" applyNumberFormat="1" applyFont="1" applyBorder="1" applyAlignment="1">
      <alignment horizontal="center" vertical="center" wrapText="1"/>
    </xf>
    <xf numFmtId="0" fontId="0" fillId="0" borderId="25" xfId="0" applyFont="1" applyBorder="1" applyAlignment="1">
      <alignment horizontal="center" vertical="center" wrapText="1"/>
    </xf>
    <xf numFmtId="0" fontId="0" fillId="0" borderId="26" xfId="0" applyFont="1" applyBorder="1" applyAlignment="1">
      <alignment horizontal="center" vertical="center" wrapText="1"/>
    </xf>
    <xf numFmtId="0" fontId="0" fillId="0" borderId="27" xfId="0" applyFont="1" applyBorder="1" applyAlignment="1">
      <alignment horizontal="center" vertical="center" wrapText="1"/>
    </xf>
    <xf numFmtId="0" fontId="0" fillId="0" borderId="24" xfId="0" applyFont="1" applyBorder="1" applyAlignment="1">
      <alignment horizontal="center" vertical="center" wrapText="1"/>
    </xf>
    <xf numFmtId="0" fontId="0" fillId="7" borderId="30" xfId="0" applyFont="1" applyFill="1" applyBorder="1" applyAlignment="1">
      <alignment horizontal="center" vertical="center" wrapText="1"/>
    </xf>
    <xf numFmtId="164" fontId="0" fillId="0" borderId="8" xfId="0" applyNumberFormat="1" applyFont="1" applyBorder="1" applyAlignment="1">
      <alignment horizontal="center" vertical="center"/>
    </xf>
    <xf numFmtId="0" fontId="1" fillId="0" borderId="3" xfId="0" applyFont="1" applyBorder="1" applyAlignment="1">
      <alignment horizontal="center"/>
    </xf>
    <xf numFmtId="0" fontId="1" fillId="5" borderId="3" xfId="0" applyFont="1" applyFill="1" applyBorder="1" applyAlignment="1">
      <alignment horizontal="center" vertical="center"/>
    </xf>
    <xf numFmtId="0" fontId="1" fillId="0" borderId="3" xfId="0" applyFont="1" applyBorder="1" applyAlignment="1">
      <alignment horizontal="center" vertical="center"/>
    </xf>
    <xf numFmtId="0" fontId="0" fillId="0" borderId="31" xfId="0" applyFont="1" applyBorder="1" applyAlignment="1">
      <alignment horizontal="center" vertical="center" wrapText="1"/>
    </xf>
    <xf numFmtId="0" fontId="1" fillId="0" borderId="3" xfId="0" applyFont="1" applyBorder="1" applyAlignment="1">
      <alignment horizontal="center"/>
    </xf>
    <xf numFmtId="0" fontId="1" fillId="5" borderId="3" xfId="0" applyFont="1" applyFill="1" applyBorder="1" applyAlignment="1">
      <alignment horizontal="center" vertical="center"/>
    </xf>
    <xf numFmtId="0" fontId="1" fillId="0" borderId="3" xfId="0" applyFont="1" applyBorder="1" applyAlignment="1">
      <alignment horizontal="center" vertical="center"/>
    </xf>
    <xf numFmtId="0" fontId="0" fillId="0" borderId="34" xfId="0" applyFont="1" applyBorder="1" applyAlignment="1">
      <alignment horizontal="center" vertical="center" wrapText="1"/>
    </xf>
    <xf numFmtId="0" fontId="0" fillId="0" borderId="36" xfId="0" applyFont="1" applyBorder="1" applyAlignment="1">
      <alignment horizontal="center" vertical="center" wrapText="1"/>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40" xfId="0" applyNumberFormat="1" applyFont="1" applyBorder="1" applyAlignment="1">
      <alignment horizontal="center" vertical="center" wrapText="1"/>
    </xf>
    <xf numFmtId="0" fontId="0" fillId="0" borderId="41" xfId="0" applyNumberFormat="1" applyFont="1" applyBorder="1" applyAlignment="1">
      <alignment horizontal="center" vertical="center" wrapText="1"/>
    </xf>
    <xf numFmtId="0" fontId="0" fillId="0" borderId="42" xfId="0" applyNumberFormat="1" applyFont="1" applyBorder="1" applyAlignment="1">
      <alignment horizontal="center" vertical="center" wrapText="1"/>
    </xf>
    <xf numFmtId="0" fontId="0" fillId="7" borderId="43" xfId="0" applyFont="1" applyFill="1" applyBorder="1" applyAlignment="1">
      <alignment horizontal="center" vertical="center" wrapText="1"/>
    </xf>
    <xf numFmtId="0" fontId="0" fillId="0" borderId="44" xfId="0" applyFont="1" applyBorder="1" applyAlignment="1">
      <alignment horizontal="center" vertical="center" wrapText="1"/>
    </xf>
    <xf numFmtId="0" fontId="0" fillId="0" borderId="50" xfId="0" applyFont="1" applyBorder="1" applyAlignment="1">
      <alignment horizontal="center" vertical="center" wrapText="1"/>
    </xf>
    <xf numFmtId="0" fontId="0" fillId="10" borderId="30" xfId="0" applyFont="1" applyFill="1" applyBorder="1" applyAlignment="1">
      <alignment horizontal="center" vertical="center" wrapText="1"/>
    </xf>
    <xf numFmtId="0" fontId="0" fillId="0" borderId="0" xfId="0" applyNumberFormat="1" applyFont="1" applyAlignment="1">
      <alignment horizontal="center" vertical="center" wrapText="1"/>
    </xf>
    <xf numFmtId="0" fontId="0" fillId="0" borderId="0" xfId="0" applyAlignment="1">
      <alignment wrapText="1"/>
    </xf>
    <xf numFmtId="1" fontId="1" fillId="0" borderId="8" xfId="0" applyNumberFormat="1" applyFont="1" applyBorder="1" applyAlignment="1">
      <alignment horizontal="center" vertical="center" wrapText="1"/>
    </xf>
    <xf numFmtId="0" fontId="0" fillId="0" borderId="45" xfId="0" applyFont="1" applyBorder="1" applyAlignment="1">
      <alignment horizontal="center" vertical="center" wrapText="1"/>
    </xf>
    <xf numFmtId="0" fontId="8" fillId="0" borderId="51" xfId="0" applyFont="1" applyBorder="1" applyAlignment="1">
      <alignment horizontal="center" vertical="center" wrapText="1"/>
    </xf>
    <xf numFmtId="0" fontId="8" fillId="0" borderId="0" xfId="0" applyFont="1" applyBorder="1" applyAlignment="1">
      <alignment horizontal="center" vertical="center" wrapText="1"/>
    </xf>
    <xf numFmtId="0" fontId="0" fillId="0" borderId="29" xfId="0" applyFont="1" applyBorder="1" applyAlignment="1">
      <alignment horizontal="center" vertical="center" wrapText="1"/>
    </xf>
    <xf numFmtId="1" fontId="1" fillId="0" borderId="14" xfId="0" applyNumberFormat="1" applyFont="1" applyBorder="1" applyAlignment="1">
      <alignment horizontal="center" vertical="center" wrapText="1"/>
    </xf>
    <xf numFmtId="0" fontId="0" fillId="0" borderId="46" xfId="0" applyFont="1" applyBorder="1" applyAlignment="1">
      <alignment horizontal="center" vertical="center" wrapText="1"/>
    </xf>
    <xf numFmtId="0" fontId="0" fillId="0" borderId="52" xfId="0" applyFont="1" applyBorder="1" applyAlignment="1">
      <alignment horizontal="center" vertical="center" wrapText="1"/>
    </xf>
    <xf numFmtId="0" fontId="8" fillId="0" borderId="40" xfId="0" applyFont="1" applyBorder="1" applyAlignment="1">
      <alignment horizontal="center" vertical="center" wrapText="1"/>
    </xf>
    <xf numFmtId="1" fontId="8" fillId="8" borderId="15" xfId="0" applyNumberFormat="1" applyFont="1" applyFill="1" applyBorder="1" applyAlignment="1">
      <alignment horizontal="center" vertical="center" wrapText="1"/>
    </xf>
    <xf numFmtId="1" fontId="8" fillId="0" borderId="14" xfId="0" applyNumberFormat="1" applyFont="1" applyBorder="1" applyAlignment="1">
      <alignment horizontal="center" vertical="center" wrapText="1"/>
    </xf>
    <xf numFmtId="1" fontId="8" fillId="0" borderId="16" xfId="0" applyNumberFormat="1" applyFont="1" applyBorder="1" applyAlignment="1">
      <alignment horizontal="center" vertical="center" wrapText="1"/>
    </xf>
    <xf numFmtId="166" fontId="1" fillId="9" borderId="5" xfId="0" applyNumberFormat="1" applyFont="1" applyFill="1" applyBorder="1" applyAlignment="1">
      <alignment horizontal="center" vertical="center" wrapText="1"/>
    </xf>
    <xf numFmtId="0" fontId="0" fillId="0" borderId="53" xfId="0" applyFont="1" applyBorder="1" applyAlignment="1">
      <alignment horizontal="center" vertical="center" wrapText="1"/>
    </xf>
    <xf numFmtId="0" fontId="8" fillId="0" borderId="41" xfId="0" applyFont="1" applyBorder="1" applyAlignment="1">
      <alignment horizontal="center" vertical="center" wrapText="1"/>
    </xf>
    <xf numFmtId="1" fontId="8" fillId="0" borderId="7" xfId="0" applyNumberFormat="1" applyFont="1" applyBorder="1" applyAlignment="1">
      <alignment horizontal="center" vertical="center" wrapText="1"/>
    </xf>
    <xf numFmtId="1" fontId="8" fillId="9" borderId="5" xfId="0" applyNumberFormat="1" applyFont="1" applyFill="1" applyBorder="1" applyAlignment="1">
      <alignment horizontal="center" vertical="center" wrapText="1"/>
    </xf>
    <xf numFmtId="1" fontId="8" fillId="0" borderId="18" xfId="0" applyNumberFormat="1" applyFont="1" applyBorder="1" applyAlignment="1">
      <alignment horizontal="center" vertical="center" wrapText="1"/>
    </xf>
    <xf numFmtId="0" fontId="0" fillId="7" borderId="21" xfId="0" applyFont="1" applyFill="1" applyBorder="1" applyAlignment="1">
      <alignment horizontal="center" vertical="center" wrapText="1"/>
    </xf>
    <xf numFmtId="0" fontId="0" fillId="0" borderId="54" xfId="0" applyFont="1" applyBorder="1" applyAlignment="1">
      <alignment horizontal="center" vertical="center" wrapText="1"/>
    </xf>
    <xf numFmtId="0" fontId="8" fillId="0" borderId="42" xfId="0" applyFont="1" applyBorder="1" applyAlignment="1">
      <alignment horizontal="center" vertical="center" wrapText="1"/>
    </xf>
    <xf numFmtId="1" fontId="8" fillId="0" borderId="22" xfId="0" applyNumberFormat="1" applyFont="1" applyBorder="1" applyAlignment="1">
      <alignment horizontal="center" vertical="center" wrapText="1"/>
    </xf>
    <xf numFmtId="1" fontId="8" fillId="0" borderId="21" xfId="0" applyNumberFormat="1" applyFont="1" applyBorder="1" applyAlignment="1">
      <alignment horizontal="center" vertical="center" wrapText="1"/>
    </xf>
    <xf numFmtId="1" fontId="8" fillId="7" borderId="23" xfId="0" applyNumberFormat="1" applyFont="1" applyFill="1" applyBorder="1" applyAlignment="1">
      <alignment horizontal="center" vertical="center" wrapText="1"/>
    </xf>
    <xf numFmtId="0" fontId="0" fillId="7" borderId="8" xfId="0" applyFont="1" applyFill="1" applyBorder="1" applyAlignment="1">
      <alignment horizontal="center" vertical="center" wrapText="1"/>
    </xf>
    <xf numFmtId="1" fontId="8" fillId="10" borderId="23" xfId="0" applyNumberFormat="1" applyFont="1" applyFill="1" applyBorder="1" applyAlignment="1">
      <alignment horizontal="center" vertical="center" wrapText="1"/>
    </xf>
    <xf numFmtId="0" fontId="0" fillId="0" borderId="55" xfId="0" applyFont="1" applyBorder="1" applyAlignment="1">
      <alignment horizontal="center" vertical="center" wrapText="1"/>
    </xf>
    <xf numFmtId="0" fontId="8" fillId="0" borderId="5"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21" xfId="0" applyFont="1" applyBorder="1" applyAlignment="1">
      <alignment horizontal="center" vertical="center" wrapText="1"/>
    </xf>
    <xf numFmtId="0" fontId="8" fillId="0" borderId="48" xfId="0" applyFont="1" applyBorder="1" applyAlignment="1">
      <alignment horizontal="center" vertical="center" wrapText="1"/>
    </xf>
    <xf numFmtId="0" fontId="0" fillId="0" borderId="48" xfId="0" applyFont="1" applyBorder="1" applyAlignment="1">
      <alignment horizontal="center" vertical="center" wrapText="1"/>
    </xf>
    <xf numFmtId="0" fontId="0" fillId="0" borderId="49" xfId="0" applyFont="1" applyBorder="1" applyAlignment="1">
      <alignment horizontal="center" vertical="center" wrapText="1"/>
    </xf>
    <xf numFmtId="0" fontId="8" fillId="7" borderId="54" xfId="0" applyFont="1" applyFill="1" applyBorder="1" applyAlignment="1">
      <alignment horizontal="center" vertical="center" wrapText="1"/>
    </xf>
    <xf numFmtId="0" fontId="0" fillId="0" borderId="56" xfId="0" applyFont="1" applyBorder="1" applyAlignment="1">
      <alignment horizontal="center" vertical="center" wrapText="1"/>
    </xf>
    <xf numFmtId="0" fontId="0" fillId="0" borderId="57" xfId="0" applyFont="1" applyBorder="1" applyAlignment="1">
      <alignment horizontal="center" vertical="center" wrapText="1"/>
    </xf>
    <xf numFmtId="0" fontId="0" fillId="7" borderId="12" xfId="0" applyFont="1" applyFill="1" applyBorder="1" applyAlignment="1">
      <alignment horizontal="center" vertical="center" wrapText="1"/>
    </xf>
    <xf numFmtId="0" fontId="0" fillId="7" borderId="14" xfId="0" applyFont="1" applyFill="1" applyBorder="1" applyAlignment="1">
      <alignment horizontal="center" vertical="center" wrapText="1"/>
    </xf>
    <xf numFmtId="1" fontId="8" fillId="7" borderId="15" xfId="0" applyNumberFormat="1" applyFont="1" applyFill="1" applyBorder="1" applyAlignment="1">
      <alignment horizontal="center" vertical="center" wrapText="1"/>
    </xf>
    <xf numFmtId="0" fontId="0" fillId="0" borderId="47" xfId="0" applyNumberFormat="1" applyFont="1" applyBorder="1" applyAlignment="1">
      <alignment horizontal="center" vertical="center" wrapText="1"/>
    </xf>
    <xf numFmtId="0" fontId="8" fillId="0" borderId="47" xfId="0" applyFont="1" applyBorder="1" applyAlignment="1">
      <alignment horizontal="center" vertical="center" wrapText="1"/>
    </xf>
    <xf numFmtId="1" fontId="8" fillId="0" borderId="9" xfId="0" applyNumberFormat="1" applyFont="1" applyBorder="1" applyAlignment="1">
      <alignment horizontal="center" vertical="center" wrapText="1"/>
    </xf>
    <xf numFmtId="1" fontId="8" fillId="0" borderId="8" xfId="0" applyNumberFormat="1" applyFont="1" applyBorder="1" applyAlignment="1">
      <alignment horizontal="center" vertical="center" wrapText="1"/>
    </xf>
    <xf numFmtId="1" fontId="8" fillId="7" borderId="58" xfId="0" applyNumberFormat="1" applyFont="1" applyFill="1" applyBorder="1" applyAlignment="1">
      <alignment horizontal="center" vertical="center" wrapText="1"/>
    </xf>
    <xf numFmtId="0" fontId="0" fillId="0" borderId="39" xfId="0" applyFont="1" applyBorder="1" applyAlignment="1">
      <alignment horizontal="center" vertical="center" wrapText="1"/>
    </xf>
    <xf numFmtId="0" fontId="8" fillId="0" borderId="59" xfId="0" applyFont="1" applyBorder="1" applyAlignment="1">
      <alignment horizontal="center" vertical="center" wrapText="1"/>
    </xf>
    <xf numFmtId="166" fontId="1" fillId="8" borderId="46" xfId="0" applyNumberFormat="1" applyFont="1" applyFill="1" applyBorder="1" applyAlignment="1">
      <alignment horizontal="center" vertical="center" wrapText="1"/>
    </xf>
    <xf numFmtId="166" fontId="1" fillId="9" borderId="34" xfId="0" applyNumberFormat="1" applyFont="1" applyFill="1" applyBorder="1" applyAlignment="1">
      <alignment horizontal="center" vertical="center" wrapText="1"/>
    </xf>
    <xf numFmtId="1" fontId="0" fillId="0" borderId="56" xfId="0" applyNumberFormat="1" applyFont="1" applyBorder="1" applyAlignment="1">
      <alignment horizontal="center" vertical="center" wrapText="1"/>
    </xf>
    <xf numFmtId="1" fontId="0" fillId="0" borderId="45" xfId="0" applyNumberFormat="1" applyFont="1" applyBorder="1" applyAlignment="1">
      <alignment horizontal="center" vertical="center" wrapText="1"/>
    </xf>
    <xf numFmtId="0" fontId="0" fillId="0" borderId="60" xfId="0" applyFont="1" applyBorder="1" applyAlignment="1">
      <alignment horizontal="center" vertical="center" wrapText="1"/>
    </xf>
    <xf numFmtId="0" fontId="0" fillId="0" borderId="61" xfId="0" applyFont="1" applyBorder="1" applyAlignment="1">
      <alignment horizontal="center" vertical="center" wrapText="1"/>
    </xf>
    <xf numFmtId="0" fontId="0" fillId="0" borderId="62" xfId="0" applyFont="1" applyBorder="1" applyAlignment="1">
      <alignment horizontal="center" vertical="center" wrapText="1"/>
    </xf>
    <xf numFmtId="0" fontId="0" fillId="0" borderId="63" xfId="0" applyFont="1" applyBorder="1" applyAlignment="1">
      <alignment horizontal="center" vertical="center" wrapText="1"/>
    </xf>
    <xf numFmtId="0" fontId="0" fillId="0" borderId="12" xfId="0" applyFont="1" applyFill="1" applyBorder="1" applyAlignment="1">
      <alignment horizontal="center" vertical="center" wrapText="1"/>
    </xf>
    <xf numFmtId="0" fontId="0" fillId="0" borderId="14" xfId="0" applyFont="1" applyFill="1" applyBorder="1" applyAlignment="1">
      <alignment horizontal="center" vertical="center" wrapText="1"/>
    </xf>
    <xf numFmtId="0" fontId="0" fillId="0" borderId="21" xfId="0" applyFont="1" applyFill="1" applyBorder="1" applyAlignment="1">
      <alignment horizontal="center" vertical="center" wrapText="1"/>
    </xf>
    <xf numFmtId="0" fontId="0" fillId="11" borderId="21" xfId="0" applyFont="1" applyFill="1" applyBorder="1" applyAlignment="1">
      <alignment horizontal="center" vertical="center" wrapText="1"/>
    </xf>
    <xf numFmtId="0" fontId="0" fillId="11" borderId="8" xfId="0" applyFont="1" applyFill="1" applyBorder="1" applyAlignment="1">
      <alignment horizontal="center" vertical="center" wrapText="1"/>
    </xf>
    <xf numFmtId="0" fontId="0" fillId="0" borderId="64" xfId="0" applyFont="1" applyBorder="1" applyAlignment="1">
      <alignment horizontal="center" vertical="center" wrapText="1"/>
    </xf>
    <xf numFmtId="0" fontId="0" fillId="0" borderId="65" xfId="0" applyNumberFormat="1" applyFont="1" applyBorder="1" applyAlignment="1">
      <alignment horizontal="center" vertical="center" wrapText="1"/>
    </xf>
    <xf numFmtId="49" fontId="0" fillId="0" borderId="66" xfId="0" applyNumberFormat="1" applyFont="1" applyBorder="1" applyAlignment="1">
      <alignment horizontal="center" vertical="center" wrapText="1"/>
    </xf>
    <xf numFmtId="0" fontId="0" fillId="11" borderId="66" xfId="0" applyFont="1" applyFill="1" applyBorder="1" applyAlignment="1">
      <alignment horizontal="center" vertical="center" wrapText="1"/>
    </xf>
    <xf numFmtId="0" fontId="0" fillId="7" borderId="66" xfId="0" applyFont="1" applyFill="1" applyBorder="1" applyAlignment="1">
      <alignment horizontal="center" vertical="center" wrapText="1"/>
    </xf>
    <xf numFmtId="1" fontId="0" fillId="0" borderId="66" xfId="0" applyNumberFormat="1" applyFont="1" applyBorder="1" applyAlignment="1">
      <alignment horizontal="center" vertical="center" wrapText="1"/>
    </xf>
    <xf numFmtId="0" fontId="8" fillId="0" borderId="65" xfId="0" applyFont="1" applyBorder="1" applyAlignment="1">
      <alignment horizontal="center" vertical="center" wrapText="1"/>
    </xf>
    <xf numFmtId="1" fontId="8" fillId="0" borderId="66" xfId="0" applyNumberFormat="1" applyFont="1" applyBorder="1" applyAlignment="1">
      <alignment horizontal="center" vertical="center" wrapText="1"/>
    </xf>
    <xf numFmtId="0" fontId="0" fillId="11" borderId="14" xfId="0" applyFont="1" applyFill="1" applyBorder="1" applyAlignment="1">
      <alignment horizontal="center" vertical="center" wrapText="1"/>
    </xf>
    <xf numFmtId="1" fontId="8" fillId="0" borderId="14" xfId="0" applyNumberFormat="1" applyFont="1" applyFill="1" applyBorder="1" applyAlignment="1">
      <alignment horizontal="center" vertical="center" wrapText="1"/>
    </xf>
    <xf numFmtId="1" fontId="8" fillId="0" borderId="5" xfId="0" applyNumberFormat="1" applyFont="1" applyFill="1" applyBorder="1" applyAlignment="1">
      <alignment horizontal="center" vertical="center" wrapText="1"/>
    </xf>
    <xf numFmtId="1" fontId="8" fillId="0" borderId="8" xfId="0" applyNumberFormat="1" applyFont="1" applyFill="1" applyBorder="1" applyAlignment="1">
      <alignment horizontal="center" vertical="center" wrapText="1"/>
    </xf>
    <xf numFmtId="0" fontId="0" fillId="0" borderId="13" xfId="0" applyFont="1" applyFill="1" applyBorder="1" applyAlignment="1">
      <alignment horizontal="center" vertical="center" wrapText="1"/>
    </xf>
    <xf numFmtId="49" fontId="0" fillId="0" borderId="14" xfId="0" applyNumberFormat="1" applyFont="1" applyFill="1" applyBorder="1" applyAlignment="1">
      <alignment horizontal="center" vertical="center" wrapText="1"/>
    </xf>
    <xf numFmtId="1" fontId="0" fillId="0" borderId="14" xfId="0" applyNumberFormat="1" applyFont="1" applyFill="1" applyBorder="1" applyAlignment="1">
      <alignment horizontal="center" vertical="center" wrapText="1"/>
    </xf>
    <xf numFmtId="0" fontId="8" fillId="0" borderId="40" xfId="0" applyFont="1" applyFill="1" applyBorder="1" applyAlignment="1">
      <alignment horizontal="center" vertical="center" wrapText="1"/>
    </xf>
    <xf numFmtId="1" fontId="8" fillId="0" borderId="16" xfId="0" applyNumberFormat="1" applyFont="1" applyFill="1" applyBorder="1" applyAlignment="1">
      <alignment horizontal="center" vertical="center" wrapText="1"/>
    </xf>
    <xf numFmtId="0" fontId="0" fillId="0" borderId="17"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0" fillId="0" borderId="5" xfId="0" applyFont="1" applyFill="1" applyBorder="1" applyAlignment="1">
      <alignment horizontal="center" vertical="center" wrapText="1"/>
    </xf>
    <xf numFmtId="1" fontId="0" fillId="0" borderId="5" xfId="0" applyNumberFormat="1" applyFont="1" applyFill="1" applyBorder="1" applyAlignment="1">
      <alignment horizontal="center" vertical="center" wrapText="1"/>
    </xf>
    <xf numFmtId="0" fontId="8" fillId="0" borderId="41" xfId="0" applyFont="1" applyFill="1" applyBorder="1" applyAlignment="1">
      <alignment horizontal="center" vertical="center" wrapText="1"/>
    </xf>
    <xf numFmtId="1" fontId="8" fillId="0" borderId="18" xfId="0" applyNumberFormat="1" applyFont="1" applyFill="1" applyBorder="1" applyAlignment="1">
      <alignment horizontal="center" vertical="center" wrapText="1"/>
    </xf>
    <xf numFmtId="49" fontId="0" fillId="0" borderId="21" xfId="0" applyNumberFormat="1" applyFont="1" applyFill="1" applyBorder="1" applyAlignment="1">
      <alignment horizontal="center" vertical="center" wrapText="1"/>
    </xf>
    <xf numFmtId="1" fontId="0" fillId="0" borderId="21" xfId="0" applyNumberFormat="1" applyFont="1" applyFill="1" applyBorder="1" applyAlignment="1">
      <alignment horizontal="center" vertical="center" wrapText="1"/>
    </xf>
    <xf numFmtId="0" fontId="8" fillId="0" borderId="42" xfId="0" applyFont="1" applyFill="1" applyBorder="1" applyAlignment="1">
      <alignment horizontal="center" vertical="center" wrapText="1"/>
    </xf>
    <xf numFmtId="0" fontId="0" fillId="0" borderId="64" xfId="0" applyFont="1" applyFill="1" applyBorder="1" applyAlignment="1">
      <alignment horizontal="center" vertical="center" wrapText="1"/>
    </xf>
    <xf numFmtId="1" fontId="8" fillId="0" borderId="66" xfId="0" applyNumberFormat="1" applyFont="1" applyFill="1" applyBorder="1" applyAlignment="1">
      <alignment horizontal="center" vertical="center" wrapText="1"/>
    </xf>
    <xf numFmtId="0" fontId="0" fillId="0" borderId="40" xfId="0" applyNumberFormat="1" applyFont="1" applyFill="1" applyBorder="1" applyAlignment="1">
      <alignment horizontal="center" vertical="center" wrapText="1"/>
    </xf>
    <xf numFmtId="0" fontId="0" fillId="0" borderId="42" xfId="0" applyNumberFormat="1" applyFont="1" applyFill="1" applyBorder="1" applyAlignment="1">
      <alignment horizontal="center" vertical="center" wrapText="1"/>
    </xf>
    <xf numFmtId="0" fontId="0" fillId="0" borderId="24" xfId="0" applyFont="1" applyFill="1" applyBorder="1" applyAlignment="1">
      <alignment horizontal="center" vertical="center" wrapText="1"/>
    </xf>
    <xf numFmtId="0" fontId="0" fillId="0" borderId="34" xfId="0" applyFont="1" applyFill="1" applyBorder="1" applyAlignment="1">
      <alignment horizontal="center" vertical="center" wrapText="1"/>
    </xf>
    <xf numFmtId="0" fontId="0" fillId="0" borderId="10" xfId="0" applyFont="1" applyFill="1" applyBorder="1" applyAlignment="1">
      <alignment horizontal="center" vertical="center" wrapText="1"/>
    </xf>
    <xf numFmtId="1" fontId="1" fillId="0" borderId="10" xfId="0" applyNumberFormat="1" applyFont="1" applyBorder="1" applyAlignment="1">
      <alignment horizontal="center" vertical="center" wrapText="1"/>
    </xf>
    <xf numFmtId="166" fontId="1" fillId="8" borderId="39" xfId="0" applyNumberFormat="1" applyFont="1" applyFill="1" applyBorder="1" applyAlignment="1">
      <alignment horizontal="center" vertical="center" wrapText="1"/>
    </xf>
    <xf numFmtId="1" fontId="8" fillId="0" borderId="11" xfId="0" applyNumberFormat="1" applyFont="1" applyFill="1" applyBorder="1" applyAlignment="1">
      <alignment horizontal="center" vertical="center" wrapText="1"/>
    </xf>
    <xf numFmtId="1" fontId="8" fillId="0" borderId="10" xfId="0" applyNumberFormat="1" applyFont="1" applyFill="1" applyBorder="1" applyAlignment="1">
      <alignment horizontal="center" vertical="center" wrapText="1"/>
    </xf>
    <xf numFmtId="1" fontId="8" fillId="0" borderId="69" xfId="0" applyNumberFormat="1" applyFont="1" applyBorder="1" applyAlignment="1">
      <alignment horizontal="center" vertical="center" wrapText="1"/>
    </xf>
    <xf numFmtId="0" fontId="8" fillId="7" borderId="57" xfId="0" applyFont="1" applyFill="1" applyBorder="1" applyAlignment="1">
      <alignment horizontal="center" vertical="center" wrapText="1"/>
    </xf>
    <xf numFmtId="0" fontId="0" fillId="0" borderId="70" xfId="0" applyFont="1" applyBorder="1" applyAlignment="1">
      <alignment horizontal="center" vertical="center" wrapText="1"/>
    </xf>
    <xf numFmtId="0" fontId="0" fillId="0" borderId="59" xfId="0" applyNumberFormat="1" applyFont="1" applyBorder="1" applyAlignment="1">
      <alignment horizontal="center" vertical="center" wrapText="1"/>
    </xf>
    <xf numFmtId="0" fontId="0" fillId="0" borderId="71" xfId="0" applyFont="1" applyBorder="1" applyAlignment="1">
      <alignment horizontal="center" vertical="center" wrapText="1"/>
    </xf>
    <xf numFmtId="0" fontId="0" fillId="0" borderId="72" xfId="0" applyFont="1" applyBorder="1" applyAlignment="1">
      <alignment horizontal="center" vertical="center" wrapText="1"/>
    </xf>
    <xf numFmtId="0" fontId="0" fillId="0" borderId="73" xfId="0" applyNumberFormat="1" applyFont="1" applyBorder="1" applyAlignment="1">
      <alignment horizontal="center" vertical="center" wrapText="1"/>
    </xf>
    <xf numFmtId="49" fontId="0" fillId="0" borderId="74" xfId="0" applyNumberFormat="1" applyFont="1" applyBorder="1" applyAlignment="1">
      <alignment horizontal="center" vertical="center" wrapText="1"/>
    </xf>
    <xf numFmtId="0" fontId="0" fillId="0" borderId="74" xfId="0" applyFont="1" applyBorder="1" applyAlignment="1">
      <alignment horizontal="center" vertical="center" wrapText="1"/>
    </xf>
    <xf numFmtId="1" fontId="0" fillId="0" borderId="74" xfId="0" applyNumberFormat="1" applyFont="1" applyBorder="1" applyAlignment="1">
      <alignment horizontal="center" vertical="center" wrapText="1"/>
    </xf>
    <xf numFmtId="1" fontId="1" fillId="0" borderId="74" xfId="0" applyNumberFormat="1" applyFont="1" applyBorder="1" applyAlignment="1">
      <alignment horizontal="center" vertical="center" wrapText="1"/>
    </xf>
    <xf numFmtId="0" fontId="8" fillId="0" borderId="73" xfId="0" applyFont="1" applyBorder="1" applyAlignment="1">
      <alignment horizontal="center" vertical="center" wrapText="1"/>
    </xf>
    <xf numFmtId="1" fontId="8" fillId="0" borderId="74" xfId="0" applyNumberFormat="1" applyFont="1" applyFill="1" applyBorder="1" applyAlignment="1">
      <alignment horizontal="center" vertical="center" wrapText="1"/>
    </xf>
    <xf numFmtId="1" fontId="8" fillId="0" borderId="77" xfId="0" applyNumberFormat="1" applyFont="1" applyBorder="1" applyAlignment="1">
      <alignment horizontal="center" vertical="center" wrapText="1"/>
    </xf>
    <xf numFmtId="0" fontId="0" fillId="11" borderId="74" xfId="0" applyFont="1" applyFill="1" applyBorder="1" applyAlignment="1">
      <alignment horizontal="center" vertical="center" wrapText="1"/>
    </xf>
    <xf numFmtId="0" fontId="0" fillId="7" borderId="74" xfId="0" applyFont="1" applyFill="1" applyBorder="1" applyAlignment="1">
      <alignment horizontal="center" vertical="center" wrapText="1"/>
    </xf>
    <xf numFmtId="0" fontId="0" fillId="7" borderId="36" xfId="0" applyFont="1" applyFill="1" applyBorder="1" applyAlignment="1">
      <alignment horizontal="center" vertical="center" wrapText="1"/>
    </xf>
    <xf numFmtId="0" fontId="0" fillId="0" borderId="36" xfId="0" applyFont="1" applyFill="1" applyBorder="1" applyAlignment="1">
      <alignment horizontal="center" vertical="center" wrapText="1"/>
    </xf>
    <xf numFmtId="0" fontId="0" fillId="12" borderId="74" xfId="0" applyFont="1" applyFill="1" applyBorder="1" applyAlignment="1">
      <alignment horizontal="center" vertical="center" wrapText="1"/>
    </xf>
    <xf numFmtId="0" fontId="0" fillId="11" borderId="10" xfId="0" applyFont="1" applyFill="1" applyBorder="1" applyAlignment="1">
      <alignment horizontal="center" vertical="center" wrapText="1"/>
    </xf>
    <xf numFmtId="0" fontId="0" fillId="11" borderId="5" xfId="0" applyFont="1" applyFill="1" applyBorder="1" applyAlignment="1">
      <alignment horizontal="center" vertical="center" wrapText="1"/>
    </xf>
    <xf numFmtId="0" fontId="0" fillId="0" borderId="37" xfId="0" applyFont="1" applyFill="1" applyBorder="1" applyAlignment="1">
      <alignment horizontal="center" vertical="center" wrapText="1"/>
    </xf>
    <xf numFmtId="1" fontId="8" fillId="0" borderId="77" xfId="0" applyNumberFormat="1" applyFont="1" applyFill="1" applyBorder="1" applyAlignment="1">
      <alignment horizontal="center" vertical="center" wrapText="1"/>
    </xf>
    <xf numFmtId="1" fontId="0" fillId="0" borderId="10" xfId="0" applyNumberFormat="1" applyFont="1" applyFill="1" applyBorder="1" applyAlignment="1">
      <alignment horizontal="center" vertical="center" wrapText="1"/>
    </xf>
    <xf numFmtId="0" fontId="8" fillId="0" borderId="59" xfId="0" applyFont="1" applyFill="1" applyBorder="1" applyAlignment="1">
      <alignment horizontal="center" vertical="center" wrapText="1"/>
    </xf>
    <xf numFmtId="1" fontId="8" fillId="0" borderId="69" xfId="0" applyNumberFormat="1" applyFont="1" applyFill="1" applyBorder="1" applyAlignment="1">
      <alignment horizontal="center" vertical="center" wrapText="1"/>
    </xf>
    <xf numFmtId="0" fontId="0" fillId="0" borderId="79" xfId="0" applyFont="1" applyBorder="1" applyAlignment="1">
      <alignment horizontal="center" vertical="center" wrapText="1"/>
    </xf>
    <xf numFmtId="0" fontId="0" fillId="0" borderId="80" xfId="0" applyFont="1" applyBorder="1" applyAlignment="1">
      <alignment horizontal="center" vertical="center" wrapText="1"/>
    </xf>
    <xf numFmtId="1" fontId="8" fillId="7" borderId="21"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0" fontId="0" fillId="7" borderId="78" xfId="0" applyFont="1" applyFill="1" applyBorder="1" applyAlignment="1">
      <alignment horizontal="center" vertical="center" wrapText="1"/>
    </xf>
    <xf numFmtId="0" fontId="0" fillId="0" borderId="82" xfId="0" applyNumberFormat="1" applyFont="1" applyBorder="1" applyAlignment="1">
      <alignment horizontal="center" vertical="center" wrapText="1"/>
    </xf>
    <xf numFmtId="49" fontId="0" fillId="0" borderId="83" xfId="0" applyNumberFormat="1" applyFont="1" applyBorder="1" applyAlignment="1">
      <alignment horizontal="center" vertical="center" wrapText="1"/>
    </xf>
    <xf numFmtId="0" fontId="0" fillId="11" borderId="83" xfId="0" applyFont="1" applyFill="1" applyBorder="1" applyAlignment="1">
      <alignment horizontal="center" vertical="center" wrapText="1"/>
    </xf>
    <xf numFmtId="0" fontId="0" fillId="7" borderId="83" xfId="0" applyFont="1" applyFill="1" applyBorder="1" applyAlignment="1">
      <alignment horizontal="center" vertical="center" wrapText="1"/>
    </xf>
    <xf numFmtId="1" fontId="0" fillId="0" borderId="83" xfId="0" applyNumberFormat="1" applyFont="1" applyBorder="1" applyAlignment="1">
      <alignment horizontal="center" vertical="center" wrapText="1"/>
    </xf>
    <xf numFmtId="1" fontId="1" fillId="0" borderId="83" xfId="0" applyNumberFormat="1" applyFont="1" applyBorder="1" applyAlignment="1">
      <alignment horizontal="center" vertical="center" wrapText="1"/>
    </xf>
    <xf numFmtId="0" fontId="0" fillId="0" borderId="83" xfId="0" applyFont="1" applyBorder="1" applyAlignment="1">
      <alignment horizontal="center" vertical="center" wrapText="1"/>
    </xf>
    <xf numFmtId="0" fontId="0" fillId="0" borderId="85" xfId="0" applyFont="1" applyBorder="1" applyAlignment="1">
      <alignment horizontal="center" vertical="center" wrapText="1"/>
    </xf>
    <xf numFmtId="0" fontId="8" fillId="0" borderId="82" xfId="0" applyFont="1" applyBorder="1" applyAlignment="1">
      <alignment horizontal="center" vertical="center" wrapText="1"/>
    </xf>
    <xf numFmtId="1" fontId="8" fillId="0" borderId="74" xfId="0" applyNumberFormat="1" applyFont="1" applyBorder="1" applyAlignment="1">
      <alignment horizontal="center" vertical="center" wrapText="1"/>
    </xf>
    <xf numFmtId="0" fontId="0" fillId="0" borderId="86" xfId="0" applyFont="1" applyBorder="1" applyAlignment="1">
      <alignment horizontal="center" vertical="center" wrapText="1"/>
    </xf>
    <xf numFmtId="0" fontId="0" fillId="0" borderId="87" xfId="0" applyFont="1" applyBorder="1" applyAlignment="1">
      <alignment horizontal="center" vertical="center" wrapText="1"/>
    </xf>
    <xf numFmtId="166" fontId="1" fillId="0" borderId="0" xfId="0" applyNumberFormat="1" applyFont="1" applyFill="1" applyBorder="1" applyAlignment="1">
      <alignment horizontal="center" vertical="center" wrapText="1"/>
    </xf>
    <xf numFmtId="1" fontId="8" fillId="8" borderId="5" xfId="0" applyNumberFormat="1" applyFont="1" applyFill="1" applyBorder="1" applyAlignment="1">
      <alignment horizontal="center" vertical="center" wrapText="1"/>
    </xf>
    <xf numFmtId="1" fontId="8" fillId="0" borderId="5" xfId="0" applyNumberFormat="1" applyFont="1" applyBorder="1" applyAlignment="1">
      <alignment horizontal="center" vertical="center" wrapText="1"/>
    </xf>
    <xf numFmtId="0" fontId="0" fillId="7" borderId="5" xfId="0" applyFont="1" applyFill="1" applyBorder="1" applyAlignment="1">
      <alignment horizontal="center" vertical="center" wrapText="1"/>
    </xf>
    <xf numFmtId="1" fontId="1" fillId="0" borderId="5" xfId="0" applyNumberFormat="1" applyFont="1" applyBorder="1" applyAlignment="1">
      <alignment horizontal="center" vertical="center" wrapText="1"/>
    </xf>
    <xf numFmtId="166" fontId="1" fillId="8" borderId="5" xfId="0" applyNumberFormat="1" applyFont="1" applyFill="1" applyBorder="1" applyAlignment="1">
      <alignment horizontal="center" vertical="center" wrapText="1"/>
    </xf>
    <xf numFmtId="1" fontId="8" fillId="7" borderId="5" xfId="0" applyNumberFormat="1" applyFont="1" applyFill="1" applyBorder="1" applyAlignment="1">
      <alignment horizontal="center" vertical="center" wrapText="1"/>
    </xf>
    <xf numFmtId="166" fontId="1" fillId="9" borderId="10" xfId="0" applyNumberFormat="1" applyFont="1" applyFill="1" applyBorder="1" applyAlignment="1">
      <alignment horizontal="center" vertical="center" wrapText="1"/>
    </xf>
    <xf numFmtId="0" fontId="8" fillId="0" borderId="14" xfId="0" applyFont="1" applyBorder="1" applyAlignment="1">
      <alignment horizontal="center" vertical="center" wrapText="1"/>
    </xf>
    <xf numFmtId="1" fontId="8" fillId="0" borderId="23" xfId="0" applyNumberFormat="1" applyFont="1" applyBorder="1" applyAlignment="1">
      <alignment horizontal="center" vertical="center" wrapText="1"/>
    </xf>
    <xf numFmtId="0" fontId="0" fillId="7" borderId="10" xfId="0" applyFont="1" applyFill="1" applyBorder="1" applyAlignment="1">
      <alignment horizontal="center" vertical="center" wrapText="1"/>
    </xf>
    <xf numFmtId="0" fontId="8" fillId="0" borderId="74" xfId="0" applyFont="1" applyBorder="1" applyAlignment="1">
      <alignment horizontal="center" vertical="center" wrapText="1"/>
    </xf>
    <xf numFmtId="166" fontId="1" fillId="8" borderId="74" xfId="0" applyNumberFormat="1" applyFont="1" applyFill="1" applyBorder="1" applyAlignment="1">
      <alignment horizontal="center" vertical="center" wrapText="1"/>
    </xf>
    <xf numFmtId="166" fontId="1" fillId="0" borderId="21" xfId="0" applyNumberFormat="1" applyFont="1" applyFill="1" applyBorder="1" applyAlignment="1">
      <alignment horizontal="center" vertical="center" wrapText="1"/>
    </xf>
    <xf numFmtId="166" fontId="1" fillId="0" borderId="74" xfId="0" applyNumberFormat="1" applyFont="1" applyFill="1" applyBorder="1" applyAlignment="1">
      <alignment horizontal="center" vertical="center" wrapText="1"/>
    </xf>
    <xf numFmtId="0" fontId="0" fillId="0" borderId="51" xfId="0" applyNumberFormat="1" applyFont="1" applyBorder="1" applyAlignment="1">
      <alignment horizontal="center" vertical="center" wrapText="1"/>
    </xf>
    <xf numFmtId="49" fontId="0" fillId="0" borderId="32" xfId="0" applyNumberFormat="1" applyFont="1" applyBorder="1" applyAlignment="1">
      <alignment horizontal="center" vertical="center" wrapText="1"/>
    </xf>
    <xf numFmtId="0" fontId="0" fillId="7" borderId="32" xfId="0" applyFont="1" applyFill="1" applyBorder="1" applyAlignment="1">
      <alignment horizontal="center" vertical="center" wrapText="1"/>
    </xf>
    <xf numFmtId="1" fontId="0" fillId="0" borderId="32" xfId="0" applyNumberFormat="1" applyFont="1" applyBorder="1" applyAlignment="1">
      <alignment horizontal="center" vertical="center" wrapText="1"/>
    </xf>
    <xf numFmtId="1" fontId="1" fillId="0" borderId="32" xfId="0" applyNumberFormat="1" applyFont="1" applyBorder="1" applyAlignment="1">
      <alignment horizontal="center" vertical="center" wrapText="1"/>
    </xf>
    <xf numFmtId="0" fontId="0" fillId="0" borderId="88" xfId="0" applyFont="1" applyBorder="1" applyAlignment="1">
      <alignment horizontal="center" vertical="center" wrapText="1"/>
    </xf>
    <xf numFmtId="1" fontId="1" fillId="0" borderId="66" xfId="0" applyNumberFormat="1" applyFont="1" applyBorder="1" applyAlignment="1">
      <alignment horizontal="center" vertical="center" wrapText="1"/>
    </xf>
    <xf numFmtId="166" fontId="1" fillId="8" borderId="66" xfId="0" applyNumberFormat="1" applyFont="1" applyFill="1" applyBorder="1" applyAlignment="1">
      <alignment horizontal="center" vertical="center" wrapText="1"/>
    </xf>
    <xf numFmtId="1" fontId="8" fillId="0" borderId="68" xfId="0" applyNumberFormat="1" applyFont="1" applyBorder="1" applyAlignment="1">
      <alignment horizontal="center" vertical="center" wrapText="1"/>
    </xf>
    <xf numFmtId="0" fontId="0" fillId="0" borderId="4" xfId="0" applyFont="1" applyFill="1" applyBorder="1" applyAlignment="1">
      <alignment horizontal="center" vertical="center" wrapText="1"/>
    </xf>
    <xf numFmtId="0" fontId="0" fillId="0" borderId="89" xfId="0" applyFont="1" applyBorder="1" applyAlignment="1">
      <alignment horizontal="center" vertical="center" wrapText="1"/>
    </xf>
    <xf numFmtId="0" fontId="0" fillId="0" borderId="90" xfId="0" applyFont="1" applyBorder="1" applyAlignment="1">
      <alignment horizontal="center" vertical="center" wrapText="1"/>
    </xf>
    <xf numFmtId="0" fontId="0" fillId="0" borderId="91" xfId="0" applyFont="1" applyBorder="1" applyAlignment="1">
      <alignment horizontal="center" vertical="center" wrapText="1"/>
    </xf>
    <xf numFmtId="0" fontId="0" fillId="0" borderId="35" xfId="0" applyNumberFormat="1" applyFont="1" applyBorder="1" applyAlignment="1">
      <alignment horizontal="center" vertical="center" wrapText="1"/>
    </xf>
    <xf numFmtId="0" fontId="0" fillId="0" borderId="75" xfId="0" applyFont="1" applyBorder="1" applyAlignment="1">
      <alignment horizontal="center" vertical="center" wrapText="1"/>
    </xf>
    <xf numFmtId="0" fontId="8" fillId="0" borderId="76" xfId="0" applyFont="1" applyBorder="1" applyAlignment="1">
      <alignment horizontal="center" vertical="center" wrapText="1"/>
    </xf>
    <xf numFmtId="0" fontId="8" fillId="0" borderId="77" xfId="0" applyFont="1" applyBorder="1" applyAlignment="1">
      <alignment horizontal="center" vertical="center" wrapText="1"/>
    </xf>
    <xf numFmtId="166" fontId="1" fillId="0" borderId="10" xfId="0" applyNumberFormat="1" applyFont="1" applyFill="1" applyBorder="1" applyAlignment="1">
      <alignment horizontal="center" vertical="center" wrapText="1"/>
    </xf>
    <xf numFmtId="0" fontId="8" fillId="0" borderId="21" xfId="0" applyFont="1" applyFill="1" applyBorder="1" applyAlignment="1">
      <alignment horizontal="center" vertical="center" wrapText="1"/>
    </xf>
    <xf numFmtId="1" fontId="8" fillId="0" borderId="0" xfId="0" applyNumberFormat="1" applyFont="1" applyBorder="1" applyAlignment="1">
      <alignment horizontal="center" vertical="center" wrapText="1"/>
    </xf>
    <xf numFmtId="165" fontId="0" fillId="0" borderId="0" xfId="0" applyNumberFormat="1" applyFont="1" applyAlignment="1">
      <alignment horizontal="center" vertical="center"/>
    </xf>
    <xf numFmtId="168" fontId="0" fillId="0" borderId="0" xfId="0" applyNumberFormat="1" applyFont="1" applyAlignment="1">
      <alignment horizontal="center" vertical="center"/>
    </xf>
    <xf numFmtId="166" fontId="1" fillId="13" borderId="3" xfId="0" applyNumberFormat="1" applyFont="1" applyFill="1" applyBorder="1" applyAlignment="1">
      <alignment horizontal="center" vertical="center"/>
    </xf>
    <xf numFmtId="1" fontId="0" fillId="0" borderId="3" xfId="0" applyNumberFormat="1" applyFont="1" applyBorder="1" applyAlignment="1">
      <alignment horizontal="center" vertical="center"/>
    </xf>
    <xf numFmtId="1" fontId="0" fillId="5" borderId="3" xfId="0" applyNumberFormat="1" applyFont="1" applyFill="1" applyBorder="1" applyAlignment="1">
      <alignment horizontal="center" vertical="center"/>
    </xf>
    <xf numFmtId="0" fontId="0" fillId="5" borderId="3" xfId="0" applyFont="1" applyFill="1" applyBorder="1" applyAlignment="1">
      <alignment horizontal="center" vertical="center"/>
    </xf>
    <xf numFmtId="0" fontId="5" fillId="0" borderId="3" xfId="0" applyFont="1" applyBorder="1" applyAlignment="1">
      <alignment horizontal="center" vertical="center"/>
    </xf>
    <xf numFmtId="0" fontId="0" fillId="0" borderId="3" xfId="0" applyBorder="1" applyAlignment="1">
      <alignment horizontal="center"/>
    </xf>
    <xf numFmtId="165" fontId="0" fillId="13" borderId="3" xfId="0" applyNumberFormat="1" applyFont="1" applyFill="1" applyBorder="1" applyAlignment="1">
      <alignment horizontal="center" vertical="center"/>
    </xf>
    <xf numFmtId="168" fontId="0" fillId="13" borderId="3" xfId="0" applyNumberFormat="1" applyFont="1" applyFill="1" applyBorder="1" applyAlignment="1">
      <alignment horizontal="center" vertical="center"/>
    </xf>
    <xf numFmtId="1" fontId="0" fillId="13" borderId="3" xfId="0" applyNumberFormat="1" applyFont="1" applyFill="1" applyBorder="1" applyAlignment="1">
      <alignment horizontal="center" vertical="center"/>
    </xf>
    <xf numFmtId="49" fontId="0" fillId="13" borderId="3" xfId="0" applyNumberFormat="1" applyFont="1" applyFill="1" applyBorder="1" applyAlignment="1">
      <alignment horizontal="center" vertical="center"/>
    </xf>
    <xf numFmtId="0" fontId="0" fillId="13" borderId="3" xfId="0" applyFont="1" applyFill="1" applyBorder="1" applyAlignment="1">
      <alignment horizontal="center"/>
    </xf>
    <xf numFmtId="165" fontId="0" fillId="13" borderId="3" xfId="0" applyNumberFormat="1" applyFont="1" applyFill="1" applyBorder="1" applyAlignment="1">
      <alignment horizontal="center" vertical="center" wrapText="1"/>
    </xf>
    <xf numFmtId="169" fontId="0" fillId="13" borderId="3" xfId="0" applyNumberFormat="1" applyFont="1" applyFill="1" applyBorder="1" applyAlignment="1">
      <alignment horizontal="center" vertical="center" wrapText="1"/>
    </xf>
    <xf numFmtId="1" fontId="0" fillId="13" borderId="3" xfId="0" applyNumberFormat="1" applyFont="1" applyFill="1" applyBorder="1" applyAlignment="1">
      <alignment horizontal="center" vertical="center" wrapText="1"/>
    </xf>
    <xf numFmtId="168" fontId="0" fillId="0" borderId="0" xfId="0" applyNumberFormat="1" applyFont="1" applyBorder="1" applyAlignment="1">
      <alignment horizontal="center" vertical="center" wrapText="1"/>
    </xf>
    <xf numFmtId="165" fontId="1" fillId="0" borderId="0" xfId="0" applyNumberFormat="1" applyFont="1" applyAlignment="1">
      <alignment horizontal="center" vertical="center"/>
    </xf>
    <xf numFmtId="165" fontId="0" fillId="0" borderId="0" xfId="0" applyNumberFormat="1" applyFont="1" applyAlignment="1">
      <alignment horizontal="center" vertical="center" wrapText="1"/>
    </xf>
    <xf numFmtId="168" fontId="0" fillId="0" borderId="0" xfId="0" applyNumberFormat="1" applyFont="1" applyAlignment="1">
      <alignment horizontal="center" vertical="center" wrapText="1"/>
    </xf>
    <xf numFmtId="0" fontId="0" fillId="2" borderId="78" xfId="0" applyFont="1" applyFill="1" applyBorder="1" applyAlignment="1">
      <alignment horizontal="center" vertical="center" wrapText="1"/>
    </xf>
    <xf numFmtId="0" fontId="0" fillId="3" borderId="79" xfId="0" applyFont="1" applyFill="1" applyBorder="1" applyAlignment="1">
      <alignment horizontal="center" vertical="center" wrapText="1"/>
    </xf>
    <xf numFmtId="0" fontId="0" fillId="4" borderId="80" xfId="0" applyFont="1" applyFill="1" applyBorder="1" applyAlignment="1">
      <alignment horizontal="center" vertical="center" wrapText="1"/>
    </xf>
    <xf numFmtId="0" fontId="0" fillId="0" borderId="83" xfId="0" applyBorder="1" applyAlignment="1">
      <alignment horizontal="center" vertical="center" wrapText="1"/>
    </xf>
    <xf numFmtId="164" fontId="0" fillId="0" borderId="84" xfId="0" applyNumberFormat="1" applyFont="1" applyBorder="1" applyAlignment="1">
      <alignment horizontal="center" vertical="center" wrapText="1"/>
    </xf>
    <xf numFmtId="0" fontId="0" fillId="0" borderId="87" xfId="0" applyFont="1" applyFill="1" applyBorder="1" applyAlignment="1">
      <alignment horizontal="center" vertical="center" wrapText="1"/>
    </xf>
    <xf numFmtId="0" fontId="8" fillId="0" borderId="83" xfId="0" applyFont="1" applyBorder="1" applyAlignment="1">
      <alignment horizontal="center" vertical="center" wrapText="1"/>
    </xf>
    <xf numFmtId="1" fontId="8" fillId="0" borderId="83" xfId="0" applyNumberFormat="1" applyFont="1" applyBorder="1" applyAlignment="1">
      <alignment horizontal="center" vertical="center" wrapText="1"/>
    </xf>
    <xf numFmtId="1" fontId="8" fillId="0" borderId="92" xfId="0" applyNumberFormat="1" applyFont="1" applyBorder="1" applyAlignment="1">
      <alignment horizontal="center" vertical="center" wrapText="1"/>
    </xf>
    <xf numFmtId="166" fontId="1" fillId="0" borderId="5" xfId="0" applyNumberFormat="1" applyFont="1" applyFill="1" applyBorder="1" applyAlignment="1">
      <alignment horizontal="center" vertical="center" wrapText="1"/>
    </xf>
    <xf numFmtId="1" fontId="1" fillId="0" borderId="5" xfId="0" applyNumberFormat="1" applyFont="1" applyFill="1" applyBorder="1" applyAlignment="1">
      <alignment horizontal="center" vertical="center" wrapText="1"/>
    </xf>
    <xf numFmtId="166" fontId="1" fillId="0" borderId="14" xfId="0" applyNumberFormat="1" applyFont="1" applyFill="1" applyBorder="1" applyAlignment="1">
      <alignment horizontal="center" vertical="center" wrapText="1"/>
    </xf>
    <xf numFmtId="0" fontId="8" fillId="0" borderId="14" xfId="0" applyFont="1" applyFill="1" applyBorder="1" applyAlignment="1">
      <alignment horizontal="center" vertical="center" wrapText="1"/>
    </xf>
    <xf numFmtId="0" fontId="10" fillId="7" borderId="36" xfId="0" applyFont="1" applyFill="1" applyBorder="1" applyAlignment="1">
      <alignment horizontal="center" vertical="center" wrapText="1"/>
    </xf>
    <xf numFmtId="0" fontId="10" fillId="0" borderId="37" xfId="0" applyFont="1" applyBorder="1" applyAlignment="1">
      <alignment horizontal="center" vertical="center" wrapText="1"/>
    </xf>
    <xf numFmtId="0" fontId="10" fillId="0" borderId="87" xfId="0" applyFont="1" applyBorder="1" applyAlignment="1">
      <alignment horizontal="center" vertical="center" wrapText="1"/>
    </xf>
    <xf numFmtId="0" fontId="10" fillId="0" borderId="40" xfId="0" applyNumberFormat="1" applyFont="1" applyBorder="1" applyAlignment="1">
      <alignment horizontal="center" vertical="center" wrapText="1"/>
    </xf>
    <xf numFmtId="49" fontId="10" fillId="0" borderId="14" xfId="0" applyNumberFormat="1" applyFont="1" applyBorder="1" applyAlignment="1">
      <alignment horizontal="center" vertical="center" wrapText="1"/>
    </xf>
    <xf numFmtId="0" fontId="10" fillId="11" borderId="14" xfId="0" applyFont="1" applyFill="1" applyBorder="1" applyAlignment="1">
      <alignment horizontal="center" vertical="center" wrapText="1"/>
    </xf>
    <xf numFmtId="0" fontId="10" fillId="7" borderId="14" xfId="0" applyFont="1" applyFill="1" applyBorder="1" applyAlignment="1">
      <alignment horizontal="center" vertical="center" wrapText="1"/>
    </xf>
    <xf numFmtId="1" fontId="10" fillId="0" borderId="14" xfId="0" applyNumberFormat="1" applyFont="1" applyBorder="1" applyAlignment="1">
      <alignment horizontal="center" vertical="center" wrapText="1"/>
    </xf>
    <xf numFmtId="0" fontId="10" fillId="0" borderId="14" xfId="0" applyFont="1" applyBorder="1" applyAlignment="1">
      <alignment horizontal="center" vertical="center" wrapText="1"/>
    </xf>
    <xf numFmtId="1" fontId="10" fillId="0" borderId="14" xfId="0" applyNumberFormat="1" applyFont="1" applyFill="1" applyBorder="1" applyAlignment="1">
      <alignment horizontal="center" vertical="center" wrapText="1"/>
    </xf>
    <xf numFmtId="1" fontId="10" fillId="7" borderId="16" xfId="0" applyNumberFormat="1" applyFont="1" applyFill="1" applyBorder="1" applyAlignment="1">
      <alignment horizontal="center" vertical="center" wrapText="1"/>
    </xf>
    <xf numFmtId="1" fontId="8" fillId="7" borderId="18" xfId="0" applyNumberFormat="1" applyFont="1" applyFill="1" applyBorder="1" applyAlignment="1">
      <alignment horizontal="center" vertical="center" wrapText="1"/>
    </xf>
    <xf numFmtId="0" fontId="0" fillId="0" borderId="93" xfId="0" applyNumberFormat="1" applyFont="1" applyBorder="1" applyAlignment="1">
      <alignment horizontal="center" vertical="center" wrapText="1"/>
    </xf>
    <xf numFmtId="0" fontId="0" fillId="0" borderId="94" xfId="0" applyNumberFormat="1" applyFont="1" applyFill="1" applyBorder="1" applyAlignment="1">
      <alignment horizontal="center" vertical="center" wrapText="1"/>
    </xf>
    <xf numFmtId="0" fontId="0" fillId="0" borderId="93" xfId="0" applyNumberFormat="1" applyFont="1" applyFill="1" applyBorder="1" applyAlignment="1">
      <alignment horizontal="center" vertical="center" wrapText="1"/>
    </xf>
    <xf numFmtId="49" fontId="0" fillId="0" borderId="41" xfId="0" applyNumberFormat="1" applyFont="1" applyBorder="1" applyAlignment="1">
      <alignment horizontal="center" vertical="center" wrapText="1"/>
    </xf>
    <xf numFmtId="49" fontId="0" fillId="0" borderId="59" xfId="0" applyNumberFormat="1" applyFont="1" applyFill="1" applyBorder="1" applyAlignment="1">
      <alignment horizontal="center" vertical="center" wrapText="1"/>
    </xf>
    <xf numFmtId="49" fontId="0" fillId="0" borderId="41" xfId="0" applyNumberFormat="1" applyFont="1" applyFill="1" applyBorder="1" applyAlignment="1">
      <alignment horizontal="center" vertical="center" wrapText="1"/>
    </xf>
    <xf numFmtId="0" fontId="8" fillId="0" borderId="78" xfId="0" applyFont="1" applyBorder="1" applyAlignment="1">
      <alignment horizontal="center" vertical="center" wrapText="1"/>
    </xf>
    <xf numFmtId="0" fontId="8" fillId="0" borderId="79" xfId="0" applyFont="1" applyBorder="1" applyAlignment="1">
      <alignment horizontal="center" vertical="center" wrapText="1"/>
    </xf>
    <xf numFmtId="0" fontId="8" fillId="0" borderId="80" xfId="0" applyFont="1" applyBorder="1" applyAlignment="1">
      <alignment horizontal="center" vertical="center" wrapText="1"/>
    </xf>
    <xf numFmtId="0" fontId="8" fillId="0" borderId="89" xfId="0" applyNumberFormat="1" applyFont="1" applyBorder="1" applyAlignment="1">
      <alignment horizontal="center" vertical="center" wrapText="1"/>
    </xf>
    <xf numFmtId="0" fontId="8" fillId="7" borderId="36" xfId="0" applyFont="1" applyFill="1" applyBorder="1" applyAlignment="1">
      <alignment horizontal="center" vertical="center" wrapText="1"/>
    </xf>
    <xf numFmtId="0" fontId="8" fillId="0" borderId="37" xfId="0" applyFont="1" applyBorder="1" applyAlignment="1">
      <alignment horizontal="center" vertical="center" wrapText="1"/>
    </xf>
    <xf numFmtId="0" fontId="8" fillId="0" borderId="87" xfId="0" applyFont="1" applyBorder="1" applyAlignment="1">
      <alignment horizontal="center" vertical="center" wrapText="1"/>
    </xf>
    <xf numFmtId="0" fontId="8" fillId="11" borderId="5" xfId="0" applyFont="1" applyFill="1" applyBorder="1" applyAlignment="1">
      <alignment horizontal="center" vertical="center" wrapText="1"/>
    </xf>
    <xf numFmtId="0" fontId="8" fillId="7" borderId="5" xfId="0" applyFont="1" applyFill="1" applyBorder="1" applyAlignment="1">
      <alignment horizontal="center" vertical="center" wrapText="1"/>
    </xf>
    <xf numFmtId="1" fontId="11" fillId="0" borderId="5" xfId="0" applyNumberFormat="1" applyFont="1" applyBorder="1" applyAlignment="1">
      <alignment horizontal="center" vertical="center" wrapText="1"/>
    </xf>
    <xf numFmtId="166" fontId="11" fillId="8" borderId="5" xfId="0" applyNumberFormat="1" applyFont="1" applyFill="1" applyBorder="1" applyAlignment="1">
      <alignment horizontal="center" vertical="center" wrapText="1"/>
    </xf>
    <xf numFmtId="0" fontId="10" fillId="0" borderId="0" xfId="0" applyFont="1" applyAlignment="1">
      <alignment horizontal="center" vertical="center" wrapText="1"/>
    </xf>
    <xf numFmtId="0" fontId="0" fillId="0" borderId="0" xfId="0" applyBorder="1"/>
    <xf numFmtId="0" fontId="1" fillId="0" borderId="5" xfId="0" applyFont="1" applyFill="1" applyBorder="1" applyAlignment="1">
      <alignment horizontal="center"/>
    </xf>
    <xf numFmtId="0" fontId="1" fillId="0" borderId="5" xfId="0" applyFont="1" applyFill="1" applyBorder="1" applyAlignment="1">
      <alignment horizontal="center" vertical="center"/>
    </xf>
    <xf numFmtId="0" fontId="0" fillId="0" borderId="5" xfId="0" applyFill="1" applyBorder="1" applyAlignment="1">
      <alignment horizontal="center"/>
    </xf>
    <xf numFmtId="0" fontId="0" fillId="0" borderId="5" xfId="0" applyFont="1" applyFill="1" applyBorder="1" applyAlignment="1">
      <alignment horizontal="center" vertical="center"/>
    </xf>
    <xf numFmtId="0" fontId="0" fillId="0" borderId="5" xfId="0" applyFill="1" applyBorder="1"/>
    <xf numFmtId="1" fontId="1" fillId="0" borderId="5" xfId="0" applyNumberFormat="1" applyFont="1" applyFill="1" applyBorder="1" applyAlignment="1">
      <alignment horizontal="center" vertical="center"/>
    </xf>
    <xf numFmtId="165" fontId="1" fillId="0" borderId="5" xfId="0" applyNumberFormat="1" applyFont="1" applyFill="1" applyBorder="1" applyAlignment="1">
      <alignment horizontal="center" vertical="center"/>
    </xf>
    <xf numFmtId="0" fontId="1" fillId="0" borderId="5" xfId="0" applyFont="1" applyFill="1" applyBorder="1" applyAlignment="1">
      <alignment horizontal="center" vertical="center"/>
    </xf>
    <xf numFmtId="0" fontId="1" fillId="0" borderId="5" xfId="0" applyFont="1" applyFill="1" applyBorder="1" applyAlignment="1">
      <alignment horizontal="center"/>
    </xf>
    <xf numFmtId="0" fontId="0" fillId="7" borderId="0" xfId="0" applyFill="1" applyBorder="1"/>
    <xf numFmtId="0" fontId="0" fillId="0" borderId="8" xfId="0" applyFont="1" applyFill="1" applyBorder="1" applyAlignment="1">
      <alignment horizontal="center" vertical="center" wrapText="1"/>
    </xf>
    <xf numFmtId="1" fontId="0" fillId="0" borderId="8" xfId="0" applyNumberFormat="1" applyFont="1" applyFill="1" applyBorder="1" applyAlignment="1">
      <alignment horizontal="center" vertical="center" wrapText="1"/>
    </xf>
    <xf numFmtId="166" fontId="1" fillId="0" borderId="8" xfId="0" applyNumberFormat="1" applyFont="1" applyFill="1" applyBorder="1" applyAlignment="1">
      <alignment horizontal="center" vertical="center" wrapText="1"/>
    </xf>
    <xf numFmtId="1" fontId="8" fillId="0" borderId="58" xfId="0" applyNumberFormat="1" applyFont="1" applyFill="1" applyBorder="1" applyAlignment="1">
      <alignment horizontal="center" vertical="center" wrapText="1"/>
    </xf>
    <xf numFmtId="49" fontId="0" fillId="0" borderId="8" xfId="0" applyNumberFormat="1" applyFont="1" applyFill="1" applyBorder="1" applyAlignment="1">
      <alignment horizontal="center" vertical="center" wrapText="1"/>
    </xf>
    <xf numFmtId="0" fontId="0" fillId="0" borderId="45" xfId="0" applyFont="1" applyFill="1" applyBorder="1" applyAlignment="1">
      <alignment horizontal="center" vertical="center" wrapText="1"/>
    </xf>
    <xf numFmtId="0" fontId="8" fillId="0" borderId="47" xfId="0" applyFont="1" applyFill="1" applyBorder="1" applyAlignment="1">
      <alignment horizontal="center" vertical="center" wrapText="1"/>
    </xf>
    <xf numFmtId="0" fontId="0" fillId="0" borderId="39" xfId="0" applyFont="1" applyFill="1" applyBorder="1" applyAlignment="1">
      <alignment horizontal="center" vertical="center" wrapText="1"/>
    </xf>
    <xf numFmtId="0" fontId="0" fillId="0" borderId="95" xfId="0" applyFont="1" applyFill="1" applyBorder="1" applyAlignment="1">
      <alignment horizontal="center" vertical="center" wrapText="1"/>
    </xf>
    <xf numFmtId="0" fontId="9" fillId="0" borderId="16" xfId="0" applyFont="1" applyFill="1" applyBorder="1" applyAlignment="1">
      <alignment horizontal="center" vertical="center" wrapText="1"/>
    </xf>
    <xf numFmtId="49" fontId="0" fillId="0" borderId="47" xfId="0" applyNumberFormat="1" applyFont="1" applyBorder="1" applyAlignment="1">
      <alignment horizontal="center" vertical="center" wrapText="1"/>
    </xf>
    <xf numFmtId="0" fontId="9" fillId="0" borderId="23" xfId="0" applyFont="1" applyFill="1" applyBorder="1" applyAlignment="1">
      <alignment horizontal="center" vertical="center" wrapText="1"/>
    </xf>
    <xf numFmtId="49" fontId="8" fillId="0" borderId="82" xfId="0" applyNumberFormat="1" applyFont="1" applyBorder="1" applyAlignment="1">
      <alignment horizontal="center" vertical="center" wrapText="1"/>
    </xf>
    <xf numFmtId="1" fontId="11" fillId="0" borderId="83" xfId="0" applyNumberFormat="1" applyFont="1" applyBorder="1" applyAlignment="1">
      <alignment horizontal="center" vertical="center" wrapText="1"/>
    </xf>
    <xf numFmtId="166" fontId="11" fillId="8" borderId="83" xfId="0" applyNumberFormat="1" applyFont="1" applyFill="1" applyBorder="1" applyAlignment="1">
      <alignment horizontal="center" vertical="center" wrapText="1"/>
    </xf>
    <xf numFmtId="1" fontId="8" fillId="8" borderId="83" xfId="0" applyNumberFormat="1" applyFont="1" applyFill="1" applyBorder="1" applyAlignment="1">
      <alignment horizontal="center" vertical="center" wrapText="1"/>
    </xf>
    <xf numFmtId="49" fontId="8" fillId="0" borderId="5" xfId="0" applyNumberFormat="1" applyFont="1" applyBorder="1" applyAlignment="1">
      <alignment horizontal="center" vertical="center" wrapText="1"/>
    </xf>
    <xf numFmtId="0" fontId="8" fillId="0" borderId="41" xfId="0" applyNumberFormat="1" applyFont="1" applyBorder="1" applyAlignment="1">
      <alignment horizontal="center" vertical="center" wrapText="1"/>
    </xf>
    <xf numFmtId="0" fontId="0" fillId="0" borderId="28" xfId="0" applyNumberFormat="1" applyFont="1" applyBorder="1" applyAlignment="1">
      <alignment horizontal="center" vertical="center" wrapText="1"/>
    </xf>
    <xf numFmtId="1" fontId="0" fillId="7" borderId="66" xfId="0" applyNumberFormat="1" applyFont="1" applyFill="1" applyBorder="1" applyAlignment="1">
      <alignment horizontal="center" vertical="center" wrapText="1"/>
    </xf>
    <xf numFmtId="1" fontId="0" fillId="7" borderId="74" xfId="0" applyNumberFormat="1" applyFont="1" applyFill="1" applyBorder="1" applyAlignment="1">
      <alignment horizontal="center" vertical="center" wrapText="1"/>
    </xf>
    <xf numFmtId="0" fontId="0" fillId="0" borderId="47" xfId="0" applyNumberFormat="1" applyFont="1" applyFill="1" applyBorder="1" applyAlignment="1">
      <alignment horizontal="center" vertical="center" wrapText="1"/>
    </xf>
    <xf numFmtId="0" fontId="0" fillId="0" borderId="46" xfId="0" applyFont="1" applyFill="1" applyBorder="1" applyAlignment="1">
      <alignment horizontal="center" vertical="center" wrapText="1"/>
    </xf>
    <xf numFmtId="0" fontId="0" fillId="0" borderId="56" xfId="0" applyFont="1" applyFill="1" applyBorder="1" applyAlignment="1">
      <alignment horizontal="center" vertical="center" wrapText="1"/>
    </xf>
    <xf numFmtId="166" fontId="1" fillId="0" borderId="32" xfId="0" applyNumberFormat="1" applyFont="1" applyFill="1" applyBorder="1" applyAlignment="1">
      <alignment horizontal="center" vertical="center" wrapText="1"/>
    </xf>
    <xf numFmtId="1" fontId="0" fillId="7" borderId="32" xfId="0" applyNumberFormat="1" applyFont="1" applyFill="1" applyBorder="1" applyAlignment="1">
      <alignment horizontal="center" vertical="center" wrapText="1"/>
    </xf>
    <xf numFmtId="1" fontId="8" fillId="0" borderId="32" xfId="0" applyNumberFormat="1" applyFont="1" applyFill="1" applyBorder="1" applyAlignment="1">
      <alignment horizontal="center" vertical="center" wrapText="1"/>
    </xf>
    <xf numFmtId="1" fontId="8" fillId="0" borderId="96" xfId="0" applyNumberFormat="1" applyFont="1" applyFill="1" applyBorder="1" applyAlignment="1">
      <alignment horizontal="center" vertical="center" wrapText="1"/>
    </xf>
    <xf numFmtId="0" fontId="9" fillId="0" borderId="16"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23" xfId="0" applyFont="1" applyBorder="1" applyAlignment="1">
      <alignment horizontal="center" vertical="center" wrapText="1"/>
    </xf>
    <xf numFmtId="166" fontId="1" fillId="8" borderId="83" xfId="0" applyNumberFormat="1" applyFont="1" applyFill="1" applyBorder="1" applyAlignment="1">
      <alignment horizontal="center" vertical="center" wrapText="1"/>
    </xf>
    <xf numFmtId="1" fontId="0" fillId="7" borderId="83" xfId="0" applyNumberFormat="1" applyFont="1" applyFill="1" applyBorder="1" applyAlignment="1">
      <alignment horizontal="center" vertical="center" wrapText="1"/>
    </xf>
    <xf numFmtId="1" fontId="8" fillId="0" borderId="83" xfId="0" applyNumberFormat="1" applyFont="1" applyFill="1" applyBorder="1" applyAlignment="1">
      <alignment horizontal="center" vertical="center" wrapText="1"/>
    </xf>
    <xf numFmtId="0" fontId="8" fillId="0" borderId="84" xfId="0" applyFont="1" applyBorder="1" applyAlignment="1">
      <alignment horizontal="center" vertical="center" wrapText="1"/>
    </xf>
    <xf numFmtId="0" fontId="10" fillId="0" borderId="46" xfId="0" applyFont="1" applyBorder="1" applyAlignment="1">
      <alignment horizontal="center" vertical="center" wrapText="1"/>
    </xf>
    <xf numFmtId="0" fontId="8" fillId="0" borderId="34" xfId="0" applyFont="1" applyBorder="1" applyAlignment="1">
      <alignment horizontal="center" vertical="center" wrapText="1"/>
    </xf>
    <xf numFmtId="0" fontId="0" fillId="0" borderId="81" xfId="0" applyFont="1" applyBorder="1" applyAlignment="1">
      <alignment horizontal="center" vertical="center" wrapText="1"/>
    </xf>
    <xf numFmtId="0" fontId="0" fillId="0" borderId="67" xfId="0" applyFont="1" applyBorder="1" applyAlignment="1">
      <alignment horizontal="center" vertical="center" wrapText="1"/>
    </xf>
    <xf numFmtId="0" fontId="0" fillId="0" borderId="84" xfId="0" applyFont="1" applyBorder="1" applyAlignment="1">
      <alignment horizontal="center" vertical="center" wrapText="1"/>
    </xf>
    <xf numFmtId="0" fontId="10" fillId="0" borderId="40" xfId="0" applyFont="1" applyBorder="1" applyAlignment="1">
      <alignment horizontal="center" vertical="center" wrapText="1"/>
    </xf>
    <xf numFmtId="0" fontId="8" fillId="0" borderId="85" xfId="0" applyFont="1" applyBorder="1" applyAlignment="1">
      <alignment horizontal="center" vertical="center" wrapText="1"/>
    </xf>
    <xf numFmtId="0" fontId="0" fillId="0" borderId="97" xfId="0" applyFont="1" applyBorder="1" applyAlignment="1">
      <alignment horizontal="center" vertical="center" wrapText="1"/>
    </xf>
    <xf numFmtId="0" fontId="0" fillId="0" borderId="30" xfId="0" applyFont="1" applyBorder="1" applyAlignment="1">
      <alignment horizontal="center" vertical="center" wrapText="1"/>
    </xf>
    <xf numFmtId="0" fontId="8" fillId="0" borderId="15" xfId="0" applyFont="1" applyBorder="1" applyAlignment="1">
      <alignment horizontal="center" vertical="center" wrapText="1"/>
    </xf>
    <xf numFmtId="0" fontId="0" fillId="0" borderId="33" xfId="0" applyNumberFormat="1" applyFont="1" applyBorder="1" applyAlignment="1">
      <alignment horizontal="center" vertical="center" wrapText="1"/>
    </xf>
    <xf numFmtId="0" fontId="0" fillId="0" borderId="0" xfId="0" applyAlignment="1">
      <alignment horizontal="center" vertical="center"/>
    </xf>
    <xf numFmtId="164" fontId="0" fillId="11" borderId="8" xfId="0" applyNumberFormat="1" applyFont="1" applyFill="1" applyBorder="1" applyAlignment="1">
      <alignment horizontal="center" vertical="center"/>
    </xf>
    <xf numFmtId="0" fontId="0" fillId="11" borderId="1" xfId="0" applyFont="1" applyFill="1" applyBorder="1" applyAlignment="1">
      <alignment horizontal="center" vertical="center" wrapText="1"/>
    </xf>
    <xf numFmtId="0" fontId="0" fillId="11" borderId="0" xfId="0" applyFill="1"/>
    <xf numFmtId="164" fontId="0" fillId="7" borderId="8" xfId="0" applyNumberFormat="1" applyFont="1" applyFill="1" applyBorder="1" applyAlignment="1">
      <alignment horizontal="center" vertical="center"/>
    </xf>
    <xf numFmtId="0" fontId="0" fillId="7" borderId="1" xfId="0" applyFont="1" applyFill="1" applyBorder="1" applyAlignment="1">
      <alignment horizontal="center" vertical="center" wrapText="1"/>
    </xf>
    <xf numFmtId="0" fontId="0" fillId="7" borderId="0" xfId="0" applyFill="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4BD97"/>
      <rgbColor rgb="FF808080"/>
      <rgbColor rgb="FF729FCF"/>
      <rgbColor rgb="FFDC2300"/>
      <rgbColor rgb="FFFFFFCC"/>
      <rgbColor rgb="FFCFE7F5"/>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66"/>
      <rgbColor rgb="FF94BD5E"/>
      <rgbColor rgb="FFFFCC00"/>
      <rgbColor rgb="FFFF9900"/>
      <rgbColor rgb="FFFF6600"/>
      <rgbColor rgb="FF666699"/>
      <rgbColor rgb="FF969696"/>
      <rgbColor rgb="FF003366"/>
      <rgbColor rgb="FF339966"/>
      <rgbColor rgb="FF003300"/>
      <rgbColor rgb="FF333300"/>
      <rgbColor rgb="FFB84700"/>
      <rgbColor rgb="FF993366"/>
      <rgbColor rgb="FF333399"/>
      <rgbColor rgb="FF22222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MK56"/>
  <sheetViews>
    <sheetView topLeftCell="C2" zoomScale="65" zoomScaleNormal="65" workbookViewId="0">
      <selection activeCell="F11" sqref="F11"/>
    </sheetView>
  </sheetViews>
  <sheetFormatPr defaultRowHeight="15.75"/>
  <cols>
    <col min="1" max="1" width="8.125" style="1"/>
    <col min="2" max="2" width="27.875" style="2"/>
    <col min="3" max="3" width="12.625" style="2"/>
    <col min="4" max="4" width="12.5" style="2"/>
    <col min="5" max="5" width="9.375" style="3"/>
    <col min="6" max="6" width="41.375" style="3"/>
    <col min="7" max="7" width="251.125" style="1"/>
    <col min="8" max="1025" width="10.875" style="1"/>
  </cols>
  <sheetData>
    <row r="2" spans="1:7" ht="18.75">
      <c r="B2" s="4" t="s">
        <v>0</v>
      </c>
      <c r="C2" s="4"/>
      <c r="D2" s="4"/>
    </row>
    <row r="3" spans="1:7" s="5" customFormat="1">
      <c r="A3" s="5" t="s">
        <v>1</v>
      </c>
      <c r="B3" s="6"/>
      <c r="C3" s="6"/>
      <c r="D3" s="6"/>
      <c r="E3" s="7"/>
      <c r="F3" s="7"/>
      <c r="G3" s="7"/>
    </row>
    <row r="4" spans="1:7" s="5" customFormat="1">
      <c r="A4" s="5" t="s">
        <v>2</v>
      </c>
      <c r="B4" s="6" t="s">
        <v>3</v>
      </c>
      <c r="C4" s="6" t="s">
        <v>4</v>
      </c>
      <c r="D4" s="8" t="s">
        <v>5</v>
      </c>
      <c r="E4" s="7" t="s">
        <v>6</v>
      </c>
      <c r="F4" s="7"/>
      <c r="G4" s="7"/>
    </row>
    <row r="5" spans="1:7">
      <c r="B5" s="9" t="s">
        <v>7</v>
      </c>
      <c r="C5" s="9"/>
      <c r="D5" s="10"/>
      <c r="E5" s="11"/>
      <c r="F5" s="11"/>
      <c r="G5" s="11"/>
    </row>
    <row r="6" spans="1:7">
      <c r="A6" s="1" t="s">
        <v>8</v>
      </c>
      <c r="B6" s="12" t="s">
        <v>9</v>
      </c>
      <c r="C6" s="12" t="s">
        <v>10</v>
      </c>
      <c r="D6" s="13" t="str">
        <f t="shared" ref="D6:D19" si="0">DEC2HEX(C6)</f>
        <v>1</v>
      </c>
      <c r="E6" s="1" t="s">
        <v>11</v>
      </c>
    </row>
    <row r="7" spans="1:7">
      <c r="A7" s="1" t="s">
        <v>8</v>
      </c>
      <c r="B7" s="12" t="s">
        <v>12</v>
      </c>
      <c r="C7" s="12" t="s">
        <v>13</v>
      </c>
      <c r="D7" s="13" t="str">
        <f t="shared" si="0"/>
        <v>2</v>
      </c>
      <c r="E7" s="1" t="s">
        <v>14</v>
      </c>
    </row>
    <row r="8" spans="1:7">
      <c r="A8" s="1" t="s">
        <v>8</v>
      </c>
      <c r="B8" s="12" t="s">
        <v>15</v>
      </c>
      <c r="C8" s="12" t="s">
        <v>16</v>
      </c>
      <c r="D8" s="13" t="str">
        <f t="shared" si="0"/>
        <v>3</v>
      </c>
      <c r="E8" s="1" t="s">
        <v>17</v>
      </c>
    </row>
    <row r="9" spans="1:7">
      <c r="A9" s="1" t="s">
        <v>8</v>
      </c>
      <c r="B9" s="12" t="s">
        <v>18</v>
      </c>
      <c r="C9" s="12" t="s">
        <v>19</v>
      </c>
      <c r="D9" s="13" t="str">
        <f t="shared" si="0"/>
        <v>4</v>
      </c>
      <c r="E9" s="1" t="s">
        <v>20</v>
      </c>
    </row>
    <row r="10" spans="1:7">
      <c r="A10" s="1" t="s">
        <v>8</v>
      </c>
      <c r="B10" s="12" t="s">
        <v>21</v>
      </c>
      <c r="C10" s="12" t="s">
        <v>22</v>
      </c>
      <c r="D10" s="13" t="str">
        <f t="shared" si="0"/>
        <v>5</v>
      </c>
      <c r="E10" s="1" t="s">
        <v>23</v>
      </c>
    </row>
    <row r="11" spans="1:7">
      <c r="A11" s="1" t="s">
        <v>8</v>
      </c>
      <c r="B11" s="12" t="s">
        <v>24</v>
      </c>
      <c r="C11" s="12" t="s">
        <v>25</v>
      </c>
      <c r="D11" s="13" t="str">
        <f t="shared" si="0"/>
        <v>6</v>
      </c>
      <c r="E11" s="1" t="s">
        <v>26</v>
      </c>
    </row>
    <row r="12" spans="1:7">
      <c r="A12" s="1" t="s">
        <v>8</v>
      </c>
      <c r="B12" s="12" t="s">
        <v>27</v>
      </c>
      <c r="C12" s="12" t="s">
        <v>28</v>
      </c>
      <c r="D12" s="13" t="str">
        <f t="shared" si="0"/>
        <v>7</v>
      </c>
      <c r="E12" s="1" t="s">
        <v>29</v>
      </c>
      <c r="G12" s="1" t="s">
        <v>370</v>
      </c>
    </row>
    <row r="13" spans="1:7">
      <c r="B13" s="9" t="s">
        <v>30</v>
      </c>
      <c r="C13" s="9"/>
      <c r="D13" s="13" t="str">
        <f t="shared" si="0"/>
        <v>0</v>
      </c>
    </row>
    <row r="14" spans="1:7">
      <c r="A14" s="1" t="s">
        <v>8</v>
      </c>
      <c r="B14" s="12" t="s">
        <v>31</v>
      </c>
      <c r="C14" s="12" t="s">
        <v>32</v>
      </c>
      <c r="D14" s="13" t="str">
        <f t="shared" si="0"/>
        <v>8</v>
      </c>
      <c r="E14" s="11" t="s">
        <v>33</v>
      </c>
      <c r="F14" s="11" t="s">
        <v>34</v>
      </c>
    </row>
    <row r="15" spans="1:7">
      <c r="A15" s="1" t="s">
        <v>8</v>
      </c>
      <c r="B15" s="12" t="s">
        <v>35</v>
      </c>
      <c r="C15" s="12" t="s">
        <v>36</v>
      </c>
      <c r="D15" s="13" t="str">
        <f t="shared" si="0"/>
        <v>9</v>
      </c>
      <c r="E15" s="11" t="s">
        <v>37</v>
      </c>
      <c r="F15" s="11" t="s">
        <v>38</v>
      </c>
    </row>
    <row r="16" spans="1:7">
      <c r="A16" s="1" t="s">
        <v>8</v>
      </c>
      <c r="B16" s="12" t="s">
        <v>39</v>
      </c>
      <c r="C16" s="12" t="s">
        <v>40</v>
      </c>
      <c r="D16" s="13" t="str">
        <f t="shared" si="0"/>
        <v>A</v>
      </c>
      <c r="E16" s="11" t="s">
        <v>41</v>
      </c>
      <c r="F16" s="11" t="s">
        <v>42</v>
      </c>
    </row>
    <row r="17" spans="1:7">
      <c r="A17" s="1" t="s">
        <v>8</v>
      </c>
      <c r="B17" s="12" t="s">
        <v>39</v>
      </c>
      <c r="C17" s="12" t="s">
        <v>40</v>
      </c>
      <c r="D17" s="13" t="str">
        <f t="shared" si="0"/>
        <v>A</v>
      </c>
      <c r="E17" s="1" t="s">
        <v>43</v>
      </c>
      <c r="F17" s="1" t="s">
        <v>44</v>
      </c>
    </row>
    <row r="18" spans="1:7">
      <c r="A18" s="1" t="s">
        <v>8</v>
      </c>
      <c r="B18" s="12" t="s">
        <v>45</v>
      </c>
      <c r="C18" s="12" t="s">
        <v>46</v>
      </c>
      <c r="D18" s="13" t="str">
        <f t="shared" si="0"/>
        <v>B</v>
      </c>
      <c r="E18" s="11" t="s">
        <v>47</v>
      </c>
      <c r="F18" s="11" t="s">
        <v>48</v>
      </c>
    </row>
    <row r="19" spans="1:7">
      <c r="A19" s="1" t="s">
        <v>8</v>
      </c>
      <c r="B19" s="12" t="s">
        <v>49</v>
      </c>
      <c r="C19" s="12" t="s">
        <v>50</v>
      </c>
      <c r="D19" s="13" t="str">
        <f t="shared" si="0"/>
        <v>C</v>
      </c>
      <c r="E19" s="11" t="s">
        <v>51</v>
      </c>
      <c r="F19" s="11" t="s">
        <v>52</v>
      </c>
    </row>
    <row r="20" spans="1:7">
      <c r="B20" s="9" t="s">
        <v>53</v>
      </c>
      <c r="C20" s="9"/>
      <c r="D20" s="13"/>
      <c r="E20" s="11"/>
      <c r="F20" s="11"/>
    </row>
    <row r="21" spans="1:7">
      <c r="A21" s="1" t="s">
        <v>8</v>
      </c>
      <c r="B21" s="12" t="s">
        <v>54</v>
      </c>
      <c r="C21" s="12" t="s">
        <v>55</v>
      </c>
      <c r="D21" s="13" t="str">
        <f>DEC2HEX(C21)</f>
        <v>D</v>
      </c>
      <c r="E21" s="11" t="s">
        <v>56</v>
      </c>
      <c r="F21" s="11" t="s">
        <v>57</v>
      </c>
    </row>
    <row r="22" spans="1:7">
      <c r="A22" s="1" t="s">
        <v>8</v>
      </c>
      <c r="B22" s="12" t="s">
        <v>58</v>
      </c>
      <c r="C22" s="12" t="s">
        <v>59</v>
      </c>
      <c r="D22" s="13" t="str">
        <f>DEC2HEX(C22)</f>
        <v>E</v>
      </c>
      <c r="E22" s="11" t="s">
        <v>60</v>
      </c>
      <c r="F22" s="11" t="s">
        <v>61</v>
      </c>
    </row>
    <row r="23" spans="1:7">
      <c r="A23" s="1" t="s">
        <v>8</v>
      </c>
      <c r="B23" s="12" t="s">
        <v>62</v>
      </c>
      <c r="C23" s="12" t="s">
        <v>63</v>
      </c>
      <c r="D23" s="13" t="str">
        <f>DEC2HEX(C23)</f>
        <v>F</v>
      </c>
      <c r="E23" s="11" t="s">
        <v>64</v>
      </c>
      <c r="F23" s="11" t="s">
        <v>65</v>
      </c>
      <c r="G23" s="11" t="s">
        <v>66</v>
      </c>
    </row>
    <row r="24" spans="1:7">
      <c r="B24" s="9" t="s">
        <v>67</v>
      </c>
      <c r="C24" s="9"/>
      <c r="D24" s="13"/>
      <c r="E24" s="11"/>
      <c r="F24" s="11"/>
      <c r="G24" s="11"/>
    </row>
    <row r="25" spans="1:7">
      <c r="A25" s="1" t="s">
        <v>8</v>
      </c>
      <c r="B25" s="12" t="s">
        <v>68</v>
      </c>
      <c r="C25" s="12" t="s">
        <v>69</v>
      </c>
      <c r="D25" s="13" t="str">
        <f>DEC2HEX(C25)</f>
        <v>0</v>
      </c>
      <c r="E25" s="11" t="s">
        <v>67</v>
      </c>
      <c r="F25" s="11" t="s">
        <v>70</v>
      </c>
    </row>
    <row r="26" spans="1:7">
      <c r="B26" s="12"/>
      <c r="C26" s="12"/>
      <c r="D26" s="13"/>
      <c r="E26" s="11"/>
      <c r="F26" s="11"/>
    </row>
    <row r="27" spans="1:7">
      <c r="B27" s="9" t="s">
        <v>71</v>
      </c>
      <c r="C27" s="9"/>
      <c r="D27" s="13"/>
      <c r="E27" s="11"/>
      <c r="F27" s="11"/>
      <c r="G27" s="11"/>
    </row>
    <row r="28" spans="1:7">
      <c r="A28" s="1" t="s">
        <v>72</v>
      </c>
      <c r="B28" s="12">
        <v>100010</v>
      </c>
      <c r="C28" s="12" t="s">
        <v>73</v>
      </c>
      <c r="D28" s="13" t="str">
        <f>DEC2HEX(C28)</f>
        <v>20</v>
      </c>
      <c r="E28" s="11" t="s">
        <v>74</v>
      </c>
      <c r="F28" s="11" t="s">
        <v>75</v>
      </c>
      <c r="G28" s="11" t="s">
        <v>76</v>
      </c>
    </row>
    <row r="29" spans="1:7">
      <c r="A29" s="1" t="s">
        <v>72</v>
      </c>
      <c r="B29" s="12">
        <v>100011</v>
      </c>
      <c r="C29" s="12" t="s">
        <v>77</v>
      </c>
      <c r="D29" s="13" t="str">
        <f>DEC2HEX(C29)</f>
        <v>21</v>
      </c>
      <c r="E29" s="11" t="s">
        <v>78</v>
      </c>
      <c r="F29" s="11" t="s">
        <v>79</v>
      </c>
      <c r="G29" s="11" t="s">
        <v>80</v>
      </c>
    </row>
    <row r="30" spans="1:7">
      <c r="B30" s="12"/>
      <c r="C30" s="12"/>
      <c r="D30" s="13"/>
      <c r="E30" s="11"/>
    </row>
    <row r="31" spans="1:7">
      <c r="D31" s="13"/>
    </row>
    <row r="32" spans="1:7" ht="18.75">
      <c r="B32" s="4" t="s">
        <v>81</v>
      </c>
      <c r="C32" s="4"/>
      <c r="D32" s="13"/>
    </row>
    <row r="33" spans="1:7" s="5" customFormat="1">
      <c r="A33" s="5" t="s">
        <v>1</v>
      </c>
      <c r="B33" s="6"/>
      <c r="C33" s="6"/>
      <c r="D33" s="13"/>
      <c r="E33" s="7"/>
      <c r="F33" s="7"/>
      <c r="G33" s="7"/>
    </row>
    <row r="34" spans="1:7" s="5" customFormat="1">
      <c r="A34" s="5" t="s">
        <v>2</v>
      </c>
      <c r="B34" s="6" t="s">
        <v>3</v>
      </c>
      <c r="C34" s="6"/>
      <c r="D34" s="13"/>
      <c r="E34" s="7" t="s">
        <v>6</v>
      </c>
      <c r="F34" s="7"/>
      <c r="G34" s="7"/>
    </row>
    <row r="35" spans="1:7">
      <c r="B35" s="14" t="s">
        <v>82</v>
      </c>
      <c r="C35" s="14"/>
      <c r="D35" s="13"/>
    </row>
    <row r="36" spans="1:7">
      <c r="A36" s="1" t="s">
        <v>8</v>
      </c>
      <c r="B36" s="15" t="s">
        <v>83</v>
      </c>
      <c r="C36" s="15" t="s">
        <v>84</v>
      </c>
      <c r="D36" s="13" t="str">
        <f>DEC2HEX(C36)</f>
        <v>10</v>
      </c>
      <c r="E36" s="1" t="s">
        <v>85</v>
      </c>
      <c r="F36" s="1" t="s">
        <v>86</v>
      </c>
      <c r="G36" s="1" t="s">
        <v>87</v>
      </c>
    </row>
    <row r="37" spans="1:7">
      <c r="A37" s="1" t="s">
        <v>8</v>
      </c>
      <c r="B37" s="15" t="s">
        <v>88</v>
      </c>
      <c r="C37" s="15" t="s">
        <v>89</v>
      </c>
      <c r="D37" s="13" t="str">
        <f>DEC2HEX(C37)</f>
        <v>11</v>
      </c>
      <c r="E37" s="1" t="s">
        <v>90</v>
      </c>
      <c r="F37" s="1" t="s">
        <v>91</v>
      </c>
      <c r="G37" s="1" t="s">
        <v>92</v>
      </c>
    </row>
    <row r="38" spans="1:7">
      <c r="A38" s="1" t="s">
        <v>8</v>
      </c>
      <c r="B38" s="15" t="s">
        <v>93</v>
      </c>
      <c r="C38" s="15" t="s">
        <v>94</v>
      </c>
      <c r="D38" s="13" t="str">
        <f>DEC2HEX(C38)</f>
        <v>12</v>
      </c>
      <c r="E38" s="1" t="s">
        <v>95</v>
      </c>
      <c r="F38" s="1" t="s">
        <v>96</v>
      </c>
      <c r="G38" s="1" t="s">
        <v>97</v>
      </c>
    </row>
    <row r="39" spans="1:7">
      <c r="B39" s="14" t="s">
        <v>7</v>
      </c>
      <c r="C39" s="14"/>
      <c r="D39" s="13"/>
    </row>
    <row r="40" spans="1:7">
      <c r="A40" s="1" t="s">
        <v>72</v>
      </c>
      <c r="B40" s="15" t="s">
        <v>98</v>
      </c>
      <c r="C40" s="15" t="s">
        <v>99</v>
      </c>
      <c r="D40" s="13" t="str">
        <f>DEC2HEX(C40)</f>
        <v>22</v>
      </c>
      <c r="E40" s="1" t="s">
        <v>100</v>
      </c>
      <c r="F40" s="1" t="s">
        <v>101</v>
      </c>
      <c r="G40" s="1" t="s">
        <v>102</v>
      </c>
    </row>
    <row r="41" spans="1:7">
      <c r="A41" s="1" t="s">
        <v>72</v>
      </c>
      <c r="B41" s="15" t="s">
        <v>103</v>
      </c>
      <c r="C41" s="15" t="s">
        <v>104</v>
      </c>
      <c r="D41" s="13" t="str">
        <f>DEC2HEX(C41)</f>
        <v>23</v>
      </c>
      <c r="E41" s="1" t="s">
        <v>105</v>
      </c>
      <c r="F41" s="1" t="s">
        <v>106</v>
      </c>
      <c r="G41" s="1" t="s">
        <v>107</v>
      </c>
    </row>
    <row r="42" spans="1:7">
      <c r="A42" s="1" t="s">
        <v>72</v>
      </c>
      <c r="B42" s="15" t="s">
        <v>108</v>
      </c>
      <c r="C42" s="15" t="s">
        <v>109</v>
      </c>
      <c r="D42" s="13" t="str">
        <f>DEC2HEX(C42)</f>
        <v>24</v>
      </c>
      <c r="E42" s="1" t="s">
        <v>110</v>
      </c>
      <c r="G42" s="1" t="s">
        <v>111</v>
      </c>
    </row>
    <row r="43" spans="1:7">
      <c r="A43" s="1" t="s">
        <v>72</v>
      </c>
      <c r="B43" s="15" t="s">
        <v>112</v>
      </c>
      <c r="C43" s="15" t="s">
        <v>113</v>
      </c>
      <c r="D43" s="13" t="str">
        <f>DEC2HEX(C43)</f>
        <v>25</v>
      </c>
      <c r="E43" s="1" t="s">
        <v>114</v>
      </c>
    </row>
    <row r="44" spans="1:7">
      <c r="A44" s="1" t="s">
        <v>72</v>
      </c>
      <c r="B44" s="15" t="s">
        <v>115</v>
      </c>
      <c r="C44" s="15" t="s">
        <v>116</v>
      </c>
      <c r="D44" s="13" t="str">
        <f>DEC2HEX(C44)</f>
        <v>26</v>
      </c>
      <c r="E44" s="1" t="s">
        <v>117</v>
      </c>
    </row>
    <row r="45" spans="1:7">
      <c r="B45" s="14" t="s">
        <v>118</v>
      </c>
      <c r="C45" s="14"/>
      <c r="D45" s="13"/>
    </row>
    <row r="46" spans="1:7">
      <c r="A46" s="1" t="s">
        <v>72</v>
      </c>
      <c r="B46" s="15" t="s">
        <v>119</v>
      </c>
      <c r="C46" s="15" t="s">
        <v>120</v>
      </c>
      <c r="D46" s="13" t="str">
        <f>DEC2HEX(C46)</f>
        <v>27</v>
      </c>
      <c r="E46" s="1" t="s">
        <v>121</v>
      </c>
      <c r="F46" s="1" t="s">
        <v>122</v>
      </c>
      <c r="G46" s="1" t="s">
        <v>123</v>
      </c>
    </row>
    <row r="47" spans="1:7">
      <c r="A47" s="1" t="s">
        <v>72</v>
      </c>
      <c r="B47" s="15" t="s">
        <v>124</v>
      </c>
      <c r="C47" s="15" t="s">
        <v>125</v>
      </c>
      <c r="D47" s="13" t="str">
        <f>DEC2HEX(C47)</f>
        <v>28</v>
      </c>
      <c r="E47" s="1" t="s">
        <v>126</v>
      </c>
      <c r="F47" s="1" t="s">
        <v>127</v>
      </c>
    </row>
    <row r="48" spans="1:7">
      <c r="A48" s="1" t="s">
        <v>72</v>
      </c>
      <c r="B48" s="15" t="s">
        <v>128</v>
      </c>
      <c r="C48" s="15" t="s">
        <v>129</v>
      </c>
      <c r="D48" s="13" t="str">
        <f>DEC2HEX(C48)</f>
        <v>29</v>
      </c>
      <c r="E48" s="1" t="s">
        <v>130</v>
      </c>
      <c r="F48" s="1" t="s">
        <v>131</v>
      </c>
      <c r="G48" s="1" t="s">
        <v>132</v>
      </c>
    </row>
    <row r="49" spans="1:7">
      <c r="B49" s="14" t="s">
        <v>133</v>
      </c>
      <c r="C49" s="14"/>
      <c r="D49" s="13"/>
    </row>
    <row r="50" spans="1:7">
      <c r="A50" s="1" t="s">
        <v>72</v>
      </c>
      <c r="B50" s="15" t="s">
        <v>134</v>
      </c>
      <c r="C50" s="15" t="s">
        <v>135</v>
      </c>
      <c r="D50" s="13" t="str">
        <f>DEC2HEX(C50)</f>
        <v>2A</v>
      </c>
      <c r="E50" s="1" t="s">
        <v>136</v>
      </c>
      <c r="F50" s="1" t="s">
        <v>137</v>
      </c>
      <c r="G50" s="1" t="s">
        <v>138</v>
      </c>
    </row>
    <row r="51" spans="1:7">
      <c r="A51" s="1" t="s">
        <v>72</v>
      </c>
      <c r="B51" s="15" t="s">
        <v>139</v>
      </c>
      <c r="C51" s="15" t="s">
        <v>140</v>
      </c>
      <c r="D51" s="13" t="str">
        <f>DEC2HEX(C51)</f>
        <v>2B</v>
      </c>
      <c r="E51" s="1" t="s">
        <v>141</v>
      </c>
      <c r="F51" s="1" t="s">
        <v>142</v>
      </c>
      <c r="G51" s="1" t="s">
        <v>143</v>
      </c>
    </row>
    <row r="52" spans="1:7">
      <c r="A52" s="1" t="s">
        <v>72</v>
      </c>
      <c r="B52" s="15" t="s">
        <v>144</v>
      </c>
      <c r="C52" s="15" t="s">
        <v>145</v>
      </c>
      <c r="D52" s="13" t="str">
        <f>DEC2HEX(C52)</f>
        <v>2C</v>
      </c>
      <c r="E52" s="1" t="s">
        <v>146</v>
      </c>
      <c r="F52" s="1" t="s">
        <v>147</v>
      </c>
      <c r="G52" s="1" t="s">
        <v>148</v>
      </c>
    </row>
    <row r="53" spans="1:7">
      <c r="A53" s="1" t="s">
        <v>72</v>
      </c>
      <c r="B53" s="15" t="s">
        <v>149</v>
      </c>
      <c r="C53" s="15" t="s">
        <v>150</v>
      </c>
      <c r="D53" s="13" t="str">
        <f>DEC2HEX(C53)</f>
        <v>2D</v>
      </c>
      <c r="E53" s="1" t="s">
        <v>151</v>
      </c>
      <c r="F53" s="1" t="s">
        <v>152</v>
      </c>
      <c r="G53" s="1" t="s">
        <v>153</v>
      </c>
    </row>
    <row r="54" spans="1:7">
      <c r="B54" s="14" t="s">
        <v>154</v>
      </c>
      <c r="C54" s="14"/>
      <c r="D54" s="13"/>
    </row>
    <row r="55" spans="1:7">
      <c r="A55" s="1" t="s">
        <v>155</v>
      </c>
      <c r="B55" s="15" t="s">
        <v>156</v>
      </c>
      <c r="C55" s="15" t="s">
        <v>157</v>
      </c>
      <c r="D55" s="13" t="str">
        <f>DEC2HEX(C55)</f>
        <v>40</v>
      </c>
      <c r="E55" s="1" t="s">
        <v>158</v>
      </c>
      <c r="F55" s="1" t="s">
        <v>159</v>
      </c>
      <c r="G55" s="1" t="s">
        <v>160</v>
      </c>
    </row>
    <row r="56" spans="1:7">
      <c r="A56" s="1" t="s">
        <v>155</v>
      </c>
      <c r="B56" s="15" t="s">
        <v>161</v>
      </c>
      <c r="C56" s="15" t="s">
        <v>162</v>
      </c>
      <c r="D56" s="13" t="str">
        <f>DEC2HEX(C56)</f>
        <v>41</v>
      </c>
      <c r="E56" s="1" t="s">
        <v>163</v>
      </c>
      <c r="F56" s="1" t="s">
        <v>164</v>
      </c>
      <c r="G56" s="1" t="s">
        <v>165</v>
      </c>
    </row>
  </sheetData>
  <pageMargins left="0.75" right="0.75" top="1" bottom="1" header="0.51180555555555496" footer="0.51180555555555496"/>
  <pageSetup paperSize="0" scale="0" firstPageNumber="0" orientation="portrait" usePrinterDefaults="0" horizontalDpi="0" verticalDpi="0" copie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238"/>
  <sheetViews>
    <sheetView tabSelected="1" zoomScale="55" zoomScaleNormal="55" workbookViewId="0"/>
  </sheetViews>
  <sheetFormatPr defaultColWidth="15.125" defaultRowHeight="15.75"/>
  <cols>
    <col min="2" max="2" width="34.875" customWidth="1"/>
    <col min="4" max="4" width="20.375" bestFit="1" customWidth="1"/>
    <col min="11" max="11" width="18.75" bestFit="1" customWidth="1"/>
    <col min="12" max="12" width="26" bestFit="1" customWidth="1"/>
    <col min="13" max="13" width="15.125" customWidth="1"/>
    <col min="14" max="14" width="19.25" style="47" bestFit="1" customWidth="1"/>
    <col min="18" max="18" width="15.625" bestFit="1" customWidth="1"/>
  </cols>
  <sheetData>
    <row r="1" spans="1:82" ht="31.5">
      <c r="A1" s="19" t="s">
        <v>429</v>
      </c>
      <c r="B1" s="19"/>
      <c r="C1" s="19"/>
      <c r="D1" s="98"/>
      <c r="E1" s="19" t="s">
        <v>347</v>
      </c>
      <c r="F1" s="19"/>
      <c r="G1" s="19"/>
      <c r="H1" s="20"/>
      <c r="I1" s="20"/>
      <c r="J1" s="20"/>
      <c r="K1" s="20"/>
      <c r="L1" s="20" t="s">
        <v>428</v>
      </c>
      <c r="M1" s="21"/>
      <c r="N1" s="21"/>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row>
    <row r="2" spans="1:82">
      <c r="A2" s="19"/>
      <c r="B2" s="19"/>
      <c r="C2" s="19"/>
      <c r="D2" s="98"/>
      <c r="E2" s="19" t="s">
        <v>336</v>
      </c>
      <c r="F2" s="19" t="s">
        <v>337</v>
      </c>
      <c r="G2" s="19" t="s">
        <v>338</v>
      </c>
      <c r="H2" s="19" t="s">
        <v>339</v>
      </c>
      <c r="I2" s="20" t="s">
        <v>340</v>
      </c>
      <c r="J2" s="20" t="s">
        <v>341</v>
      </c>
      <c r="K2" s="20"/>
      <c r="L2" s="20"/>
      <c r="M2" s="21"/>
      <c r="N2" s="21"/>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row>
    <row r="3" spans="1:82">
      <c r="A3" s="19"/>
      <c r="B3" s="19"/>
      <c r="C3" s="19"/>
      <c r="D3" s="98"/>
      <c r="E3" s="19" t="s">
        <v>342</v>
      </c>
      <c r="F3" s="19" t="s">
        <v>337</v>
      </c>
      <c r="G3" s="19" t="s">
        <v>338</v>
      </c>
      <c r="H3" s="19" t="s">
        <v>339</v>
      </c>
      <c r="I3" s="20" t="s">
        <v>343</v>
      </c>
      <c r="J3" s="20" t="s">
        <v>344</v>
      </c>
      <c r="K3" s="20" t="s">
        <v>345</v>
      </c>
      <c r="L3" s="20" t="str">
        <f>"-"&amp;2^15&amp;"&lt;VAL&lt;"&amp;2^16</f>
        <v>-32768&lt;VAL&lt;65536</v>
      </c>
      <c r="M3" s="21"/>
      <c r="N3" s="21"/>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row>
    <row r="4" spans="1:82">
      <c r="A4" s="19"/>
      <c r="B4" s="19"/>
      <c r="C4" s="19"/>
      <c r="D4" s="98"/>
      <c r="E4" s="19" t="s">
        <v>346</v>
      </c>
      <c r="F4" s="19" t="s">
        <v>337</v>
      </c>
      <c r="G4" s="19" t="s">
        <v>338</v>
      </c>
      <c r="H4" s="19"/>
      <c r="I4" s="20"/>
      <c r="J4" s="20"/>
      <c r="K4" s="20" t="s">
        <v>345</v>
      </c>
      <c r="L4" s="20" t="str">
        <f>"-"&amp;2^24&amp;"&lt;VAL&lt;"&amp;2^25</f>
        <v>-16777216&lt;VAL&lt;33554432</v>
      </c>
      <c r="M4" s="21"/>
      <c r="N4" s="21"/>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row>
    <row r="5" spans="1:82" ht="32.25" thickBot="1">
      <c r="A5" s="19"/>
      <c r="B5" s="19"/>
      <c r="C5" s="19"/>
      <c r="D5" s="98"/>
      <c r="E5" s="98"/>
      <c r="F5" s="19"/>
      <c r="G5" s="19"/>
      <c r="H5" s="20"/>
      <c r="I5" s="20"/>
      <c r="J5" s="20"/>
      <c r="L5" s="20"/>
      <c r="M5" s="99"/>
      <c r="N5" s="99"/>
      <c r="O5" s="21" t="s">
        <v>350</v>
      </c>
      <c r="P5" s="19" t="s">
        <v>408</v>
      </c>
      <c r="Q5" s="19" t="s">
        <v>410</v>
      </c>
      <c r="R5" s="19" t="s">
        <v>409</v>
      </c>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row>
    <row r="6" spans="1:82" ht="32.25" thickBot="1">
      <c r="A6" s="294" t="s">
        <v>166</v>
      </c>
      <c r="B6" s="295" t="s">
        <v>167</v>
      </c>
      <c r="C6" s="296" t="s">
        <v>168</v>
      </c>
      <c r="D6" s="393" t="s">
        <v>169</v>
      </c>
      <c r="E6" s="393" t="s">
        <v>170</v>
      </c>
      <c r="F6" s="393" t="s">
        <v>171</v>
      </c>
      <c r="G6" s="393" t="s">
        <v>166</v>
      </c>
      <c r="H6" s="393" t="s">
        <v>172</v>
      </c>
      <c r="I6" s="393" t="s">
        <v>173</v>
      </c>
      <c r="J6" s="393" t="s">
        <v>174</v>
      </c>
      <c r="K6" s="393" t="s">
        <v>175</v>
      </c>
      <c r="L6" s="393" t="s">
        <v>349</v>
      </c>
      <c r="M6" s="393" t="s">
        <v>176</v>
      </c>
      <c r="N6" s="393" t="s">
        <v>359</v>
      </c>
      <c r="O6" s="264" t="s">
        <v>177</v>
      </c>
      <c r="P6" s="265" t="s">
        <v>178</v>
      </c>
      <c r="Q6" s="266" t="s">
        <v>179</v>
      </c>
      <c r="R6" s="223" t="s">
        <v>180</v>
      </c>
      <c r="S6" s="266" t="s">
        <v>181</v>
      </c>
      <c r="T6" s="222" t="s">
        <v>182</v>
      </c>
      <c r="U6" s="222" t="s">
        <v>183</v>
      </c>
      <c r="V6" s="222" t="s">
        <v>184</v>
      </c>
      <c r="W6" s="222" t="s">
        <v>185</v>
      </c>
      <c r="X6" s="222" t="s">
        <v>186</v>
      </c>
      <c r="Y6" s="222" t="s">
        <v>187</v>
      </c>
      <c r="Z6" s="222" t="s">
        <v>188</v>
      </c>
      <c r="AA6" s="222" t="s">
        <v>189</v>
      </c>
      <c r="AB6" s="222" t="s">
        <v>190</v>
      </c>
      <c r="AC6" s="222" t="s">
        <v>191</v>
      </c>
      <c r="AD6" s="222" t="s">
        <v>192</v>
      </c>
      <c r="AE6" s="222" t="s">
        <v>193</v>
      </c>
      <c r="AF6" s="222" t="s">
        <v>194</v>
      </c>
      <c r="AG6" s="222" t="s">
        <v>195</v>
      </c>
      <c r="AH6" s="222" t="s">
        <v>196</v>
      </c>
      <c r="AI6" s="222" t="s">
        <v>197</v>
      </c>
      <c r="AJ6" s="222" t="s">
        <v>198</v>
      </c>
      <c r="AK6" s="222" t="s">
        <v>199</v>
      </c>
      <c r="AL6" s="222" t="s">
        <v>200</v>
      </c>
      <c r="AM6" s="222" t="s">
        <v>201</v>
      </c>
      <c r="AN6" s="222" t="s">
        <v>202</v>
      </c>
      <c r="AO6" s="222" t="s">
        <v>203</v>
      </c>
      <c r="AP6" s="222" t="s">
        <v>204</v>
      </c>
      <c r="AQ6" s="222" t="s">
        <v>205</v>
      </c>
      <c r="AR6" s="222" t="s">
        <v>206</v>
      </c>
      <c r="AS6" s="222" t="s">
        <v>207</v>
      </c>
      <c r="AT6" s="222" t="s">
        <v>208</v>
      </c>
      <c r="AU6" s="223" t="s">
        <v>209</v>
      </c>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row>
    <row r="7" spans="1:82" ht="32.25" thickBot="1">
      <c r="A7" s="226" t="str">
        <f>IF(AND(F7="B",IF(OR(G7="LD",G7="LDU",G7="ADD",G7="SUB",G7="AND",G7="OR",G7="XOR"),1,0)),CONCATENATE(G7,"#"),G7)</f>
        <v>NOP</v>
      </c>
      <c r="B7" s="222" t="s">
        <v>213</v>
      </c>
      <c r="C7" s="223" t="s">
        <v>348</v>
      </c>
      <c r="D7" s="202" t="str">
        <f>IF(F7="A",CONCATENATE(F7," ",G7," R",H7,",R",I7,",R",J7),IF(F7="B",CONCATENATE(F7," ",G7," R",H7,",R",I7,",",K7),CONCATENATE(F7," ",G7," ",K7)))</f>
        <v>A NOP R0,R0,R0</v>
      </c>
      <c r="E7" s="203"/>
      <c r="F7" s="211" t="s">
        <v>212</v>
      </c>
      <c r="G7" s="211" t="s">
        <v>67</v>
      </c>
      <c r="H7" s="205">
        <v>0</v>
      </c>
      <c r="I7" s="205">
        <v>0</v>
      </c>
      <c r="J7" s="205">
        <v>0</v>
      </c>
      <c r="K7" s="206" t="s">
        <v>213</v>
      </c>
      <c r="L7" s="206" t="s">
        <v>213</v>
      </c>
      <c r="M7" s="268">
        <v>0</v>
      </c>
      <c r="N7" s="204"/>
      <c r="O7" s="269">
        <f>0</f>
        <v>0</v>
      </c>
      <c r="P7" s="269"/>
      <c r="Q7" s="250"/>
      <c r="R7" s="270"/>
      <c r="S7" s="389"/>
      <c r="T7" s="389"/>
      <c r="U7" s="389"/>
      <c r="V7" s="389"/>
      <c r="W7" s="389"/>
      <c r="X7" s="389"/>
      <c r="Y7" s="389"/>
      <c r="Z7" s="389"/>
      <c r="AA7" s="389"/>
      <c r="AB7" s="389"/>
      <c r="AC7" s="389"/>
      <c r="AD7" s="389"/>
      <c r="AE7" s="389"/>
      <c r="AF7" s="389"/>
      <c r="AG7" s="389"/>
      <c r="AH7" s="389"/>
      <c r="AI7" s="389"/>
      <c r="AJ7" s="389"/>
      <c r="AK7" s="389"/>
      <c r="AL7" s="389"/>
      <c r="AM7" s="389"/>
      <c r="AN7" s="389"/>
      <c r="AO7" s="389"/>
      <c r="AP7" s="389"/>
      <c r="AQ7" s="389"/>
      <c r="AR7" s="389"/>
      <c r="AS7" s="389"/>
      <c r="AT7" s="234"/>
      <c r="AU7" s="390"/>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row>
    <row r="8" spans="1:82" ht="16.5" thickBot="1">
      <c r="A8" s="136" t="str">
        <f t="shared" ref="A8:A28" si="0">IF(AND(F8="B",IF(OR(G8="LD",G8="LDU",G8="ADD",G8="SUB",G8="AND",G8="OR",G8="XOR"),1,0)),CONCATENATE(G8,"#"),G8)</f>
        <v>LDU#</v>
      </c>
      <c r="B8" s="59" t="str">
        <f>"R["&amp;H8&amp;"] &lt;= "&amp;K8</f>
        <v>R[1] &lt;= 1</v>
      </c>
      <c r="C8" s="74" t="s">
        <v>231</v>
      </c>
      <c r="D8" s="267" t="str">
        <f t="shared" ref="D8:D64" si="1">IF(F8="A",CONCATENATE(F8," ",G8," R",H8,",R",I8,",R",J8),IF(F8="B",CONCATENATE(F8," ",G8," R",H8,",R",I8,",",K8),CONCATENATE(F8," ",G8," ",K8)))</f>
        <v>B LDU R1,R0,1</v>
      </c>
      <c r="E8" s="55"/>
      <c r="F8" s="215" t="s">
        <v>216</v>
      </c>
      <c r="G8" s="249" t="s">
        <v>351</v>
      </c>
      <c r="H8" s="57">
        <v>1</v>
      </c>
      <c r="I8" s="57">
        <v>0</v>
      </c>
      <c r="J8" s="57" t="s">
        <v>213</v>
      </c>
      <c r="K8" s="192">
        <v>1</v>
      </c>
      <c r="L8" s="193" t="str">
        <f>RIGHT(DEC2HEX(K8,10),8)</f>
        <v>00000001</v>
      </c>
      <c r="M8" s="153">
        <f>M7+1</f>
        <v>1</v>
      </c>
      <c r="N8" s="126"/>
      <c r="O8" s="108">
        <f>O7</f>
        <v>0</v>
      </c>
      <c r="P8" s="109" t="str">
        <f>L8</f>
        <v>00000001</v>
      </c>
      <c r="Q8" s="110"/>
      <c r="R8" s="111"/>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23"/>
      <c r="AU8" s="104"/>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c r="BV8" s="28"/>
      <c r="BW8" s="28"/>
      <c r="BX8" s="28"/>
      <c r="BY8" s="28"/>
      <c r="BZ8" s="28"/>
      <c r="CA8" s="28"/>
      <c r="CB8" s="28"/>
      <c r="CC8" s="28"/>
      <c r="CD8" s="28"/>
    </row>
    <row r="9" spans="1:82" ht="17.25" thickTop="1" thickBot="1">
      <c r="A9" s="63" t="str">
        <f t="shared" si="0"/>
        <v>LDU#</v>
      </c>
      <c r="B9" s="22" t="str">
        <f>"R["&amp;H9&amp;"] &lt;= "&amp;K9</f>
        <v>R[2] &lt;= 2</v>
      </c>
      <c r="C9" s="75" t="s">
        <v>213</v>
      </c>
      <c r="D9" s="70" t="str">
        <f t="shared" si="1"/>
        <v>B LDU R2,R0,2</v>
      </c>
      <c r="E9" s="51"/>
      <c r="F9" s="49" t="s">
        <v>216</v>
      </c>
      <c r="G9" s="49" t="str">
        <f>IF(K9&gt;=0,"LDU","LD")</f>
        <v>LDU</v>
      </c>
      <c r="H9" s="50">
        <v>2</v>
      </c>
      <c r="I9" s="50">
        <v>0</v>
      </c>
      <c r="J9" s="50" t="s">
        <v>213</v>
      </c>
      <c r="K9" s="50">
        <v>2</v>
      </c>
      <c r="L9" s="147" t="str">
        <f>RIGHT(DEC2HEX(K9,10),8)</f>
        <v>00000002</v>
      </c>
      <c r="M9" s="151">
        <f t="shared" ref="M9:M52" si="2">M8+1</f>
        <v>2</v>
      </c>
      <c r="N9" s="113"/>
      <c r="O9" s="114">
        <f t="shared" ref="O9:O72" si="3">O8</f>
        <v>0</v>
      </c>
      <c r="P9" s="115" t="str">
        <f>P8</f>
        <v>00000001</v>
      </c>
      <c r="Q9" s="116" t="str">
        <f>L9</f>
        <v>00000002</v>
      </c>
      <c r="R9" s="117"/>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23"/>
      <c r="AU9" s="104"/>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row>
    <row r="10" spans="1:82" ht="111.75" thickTop="1" thickBot="1">
      <c r="A10" s="64" t="str">
        <f t="shared" si="0"/>
        <v>ADD</v>
      </c>
      <c r="B10" s="65" t="str">
        <f>"R["&amp;H10&amp;"] &lt;= R["&amp;I10&amp;"] + R["&amp;J10&amp;"]"</f>
        <v>R[3] &lt;= R[1] + R[2]</v>
      </c>
      <c r="C10" s="76" t="s">
        <v>352</v>
      </c>
      <c r="D10" s="70" t="str">
        <f t="shared" si="1"/>
        <v>A ADD R3,R1,R2</v>
      </c>
      <c r="E10" s="66"/>
      <c r="F10" s="118" t="s">
        <v>212</v>
      </c>
      <c r="G10" s="118" t="s">
        <v>11</v>
      </c>
      <c r="H10" s="68">
        <v>3</v>
      </c>
      <c r="I10" s="68">
        <v>1</v>
      </c>
      <c r="J10" s="68">
        <v>2</v>
      </c>
      <c r="K10" s="68" t="s">
        <v>213</v>
      </c>
      <c r="L10" s="148" t="s">
        <v>213</v>
      </c>
      <c r="M10" s="152">
        <f t="shared" si="2"/>
        <v>3</v>
      </c>
      <c r="N10" s="135"/>
      <c r="O10" s="120">
        <f t="shared" si="3"/>
        <v>0</v>
      </c>
      <c r="P10" s="121" t="str">
        <f>P9</f>
        <v>00000001</v>
      </c>
      <c r="Q10" s="122" t="str">
        <f>Q9</f>
        <v>00000002</v>
      </c>
      <c r="R10" s="123" t="str">
        <f>DEC2HEX(HEX2DEC(P10)+HEX2DEC(Q10))</f>
        <v>3</v>
      </c>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23"/>
      <c r="AU10" s="104"/>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row>
    <row r="11" spans="1:82" ht="16.5" thickBot="1">
      <c r="A11" s="136" t="str">
        <f t="shared" si="0"/>
        <v>LD#</v>
      </c>
      <c r="B11" s="59" t="str">
        <f>"R["&amp;H11&amp;"] &lt;= "&amp;K11</f>
        <v>R[1] &lt;= -3</v>
      </c>
      <c r="C11" s="74" t="s">
        <v>236</v>
      </c>
      <c r="D11" s="71" t="str">
        <f t="shared" si="1"/>
        <v>B LD R1,R0,-3</v>
      </c>
      <c r="E11" s="60"/>
      <c r="F11" s="167" t="s">
        <v>216</v>
      </c>
      <c r="G11" s="137" t="s">
        <v>335</v>
      </c>
      <c r="H11" s="62">
        <v>1</v>
      </c>
      <c r="I11" s="62">
        <v>0</v>
      </c>
      <c r="J11" s="62" t="s">
        <v>213</v>
      </c>
      <c r="K11" s="105">
        <v>-3</v>
      </c>
      <c r="L11" s="146" t="str">
        <f>RIGHT(DEC2HEX(K11,10),8)</f>
        <v>FFFFFFFD</v>
      </c>
      <c r="M11" s="150">
        <f t="shared" si="2"/>
        <v>4</v>
      </c>
      <c r="N11" s="107"/>
      <c r="O11" s="108">
        <f t="shared" si="3"/>
        <v>0</v>
      </c>
      <c r="P11" s="138" t="str">
        <f t="shared" ref="P11" si="4">L11</f>
        <v>FFFFFFFD</v>
      </c>
      <c r="Q11" s="110"/>
      <c r="R11" s="111"/>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23"/>
      <c r="AU11" s="104"/>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row>
    <row r="12" spans="1:82" ht="17.25" thickTop="1" thickBot="1">
      <c r="A12" s="63" t="str">
        <f t="shared" si="0"/>
        <v>LD#</v>
      </c>
      <c r="B12" s="22" t="str">
        <f>"R["&amp;H12&amp;"] &lt;= "&amp;K12</f>
        <v>R[2] &lt;= -3</v>
      </c>
      <c r="C12" s="75" t="s">
        <v>213</v>
      </c>
      <c r="D12" s="69" t="str">
        <f t="shared" si="1"/>
        <v>B LD R2,R0,-3</v>
      </c>
      <c r="E12" s="51"/>
      <c r="F12" s="49" t="s">
        <v>216</v>
      </c>
      <c r="G12" s="49" t="str">
        <f>IF(K12&gt;=0,"LDU","LD")</f>
        <v>LD</v>
      </c>
      <c r="H12" s="50">
        <v>2</v>
      </c>
      <c r="I12" s="50">
        <v>0</v>
      </c>
      <c r="J12" s="50" t="s">
        <v>213</v>
      </c>
      <c r="K12" s="50">
        <v>-3</v>
      </c>
      <c r="L12" s="147" t="str">
        <f>RIGHT(DEC2HEX(K12,10),8)</f>
        <v>FFFFFFFD</v>
      </c>
      <c r="M12" s="151">
        <f t="shared" si="2"/>
        <v>5</v>
      </c>
      <c r="N12" s="113"/>
      <c r="O12" s="114">
        <f t="shared" si="3"/>
        <v>0</v>
      </c>
      <c r="P12" s="115" t="str">
        <f t="shared" ref="P12:P13" si="5">P11</f>
        <v>FFFFFFFD</v>
      </c>
      <c r="Q12" s="116" t="str">
        <f t="shared" ref="Q12" si="6">L12</f>
        <v>FFFFFFFD</v>
      </c>
      <c r="R12" s="117"/>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23"/>
      <c r="AU12" s="104"/>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row>
    <row r="13" spans="1:82" ht="33" thickTop="1" thickBot="1">
      <c r="A13" s="64" t="str">
        <f t="shared" si="0"/>
        <v>SUB</v>
      </c>
      <c r="B13" s="65" t="str">
        <f>"R["&amp;H13&amp;"] &lt;= R["&amp;I13&amp;"] - R["&amp;J13&amp;"]"</f>
        <v>R[3] &lt;= R[1] - R[2]</v>
      </c>
      <c r="C13" s="76" t="s">
        <v>354</v>
      </c>
      <c r="D13" s="72" t="str">
        <f t="shared" si="1"/>
        <v>A SUB R3,R1,R2</v>
      </c>
      <c r="E13" s="66"/>
      <c r="F13" s="118" t="s">
        <v>212</v>
      </c>
      <c r="G13" s="118" t="s">
        <v>14</v>
      </c>
      <c r="H13" s="68">
        <v>3</v>
      </c>
      <c r="I13" s="68">
        <v>1</v>
      </c>
      <c r="J13" s="68">
        <v>2</v>
      </c>
      <c r="K13" s="68" t="s">
        <v>213</v>
      </c>
      <c r="L13" s="148" t="s">
        <v>213</v>
      </c>
      <c r="M13" s="152">
        <f t="shared" si="2"/>
        <v>6</v>
      </c>
      <c r="N13" s="133" t="s">
        <v>360</v>
      </c>
      <c r="O13" s="120">
        <f t="shared" si="3"/>
        <v>0</v>
      </c>
      <c r="P13" s="121" t="str">
        <f t="shared" si="5"/>
        <v>FFFFFFFD</v>
      </c>
      <c r="Q13" s="122" t="str">
        <f t="shared" ref="Q13" si="7">Q12</f>
        <v>FFFFFFFD</v>
      </c>
      <c r="R13" s="123" t="str">
        <f>DEC2HEX(K11-K12)</f>
        <v>0</v>
      </c>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23"/>
      <c r="AU13" s="104"/>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row>
    <row r="14" spans="1:82" ht="17.25" thickTop="1" thickBot="1">
      <c r="A14" s="58" t="str">
        <f t="shared" si="0"/>
        <v>LD#</v>
      </c>
      <c r="B14" s="59" t="str">
        <f>"R["&amp;H14&amp;"] &lt;= "&amp;K14</f>
        <v>R[1] &lt;= -5</v>
      </c>
      <c r="C14" s="75" t="s">
        <v>213</v>
      </c>
      <c r="D14" s="71" t="str">
        <f t="shared" si="1"/>
        <v>B LD R1,R0,-5</v>
      </c>
      <c r="E14" s="60"/>
      <c r="F14" s="61" t="s">
        <v>216</v>
      </c>
      <c r="G14" s="49" t="str">
        <f>IF(K14&gt;=0,"LDU","LD")</f>
        <v>LD</v>
      </c>
      <c r="H14" s="62">
        <v>1</v>
      </c>
      <c r="I14" s="62">
        <v>0</v>
      </c>
      <c r="J14" s="62" t="s">
        <v>213</v>
      </c>
      <c r="K14" s="105">
        <v>-5</v>
      </c>
      <c r="L14" s="146" t="str">
        <f>RIGHT(DEC2HEX(K14,10),8)</f>
        <v>FFFFFFFB</v>
      </c>
      <c r="M14" s="150">
        <f t="shared" si="2"/>
        <v>7</v>
      </c>
      <c r="N14" s="107"/>
      <c r="O14" s="108">
        <f t="shared" si="3"/>
        <v>0</v>
      </c>
      <c r="P14" s="109" t="str">
        <f t="shared" ref="P14" si="8">L14</f>
        <v>FFFFFFFB</v>
      </c>
      <c r="Q14" s="110"/>
      <c r="R14" s="111"/>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23"/>
      <c r="AU14" s="104"/>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row>
    <row r="15" spans="1:82" ht="64.5" thickTop="1" thickBot="1">
      <c r="A15" s="64" t="str">
        <f t="shared" si="0"/>
        <v>NEG</v>
      </c>
      <c r="B15" s="65" t="str">
        <f>"R["&amp;H15&amp;"] &lt;= - R["&amp;I15&amp;"]"</f>
        <v>R[3] &lt;= - R[1]</v>
      </c>
      <c r="C15" s="76" t="s">
        <v>353</v>
      </c>
      <c r="D15" s="72" t="str">
        <f t="shared" si="1"/>
        <v>A NEG R3,R1,R2</v>
      </c>
      <c r="E15" s="66"/>
      <c r="F15" s="118" t="s">
        <v>212</v>
      </c>
      <c r="G15" s="118" t="s">
        <v>23</v>
      </c>
      <c r="H15" s="68">
        <v>3</v>
      </c>
      <c r="I15" s="68">
        <v>1</v>
      </c>
      <c r="J15" s="68">
        <v>2</v>
      </c>
      <c r="K15" s="68" t="s">
        <v>213</v>
      </c>
      <c r="L15" s="148" t="s">
        <v>213</v>
      </c>
      <c r="M15" s="152">
        <f t="shared" si="2"/>
        <v>8</v>
      </c>
      <c r="N15" s="133" t="s">
        <v>361</v>
      </c>
      <c r="O15" s="120">
        <f t="shared" si="3"/>
        <v>0</v>
      </c>
      <c r="P15" s="121" t="str">
        <f t="shared" ref="P15" si="9">P14</f>
        <v>FFFFFFFB</v>
      </c>
      <c r="Q15" s="122">
        <f t="shared" ref="Q15" si="10">Q14</f>
        <v>0</v>
      </c>
      <c r="R15" s="123" t="str">
        <f>DEC2HEX(-K14)</f>
        <v>5</v>
      </c>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23"/>
      <c r="AU15" s="104"/>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row>
    <row r="16" spans="1:82" ht="17.25" thickTop="1" thickBot="1">
      <c r="A16" s="58" t="str">
        <f t="shared" si="0"/>
        <v>LDU#</v>
      </c>
      <c r="B16" s="59" t="str">
        <f>"R["&amp;H16&amp;"] &lt;= "&amp;K16</f>
        <v>R[1] &lt;= 3</v>
      </c>
      <c r="C16" s="75" t="s">
        <v>213</v>
      </c>
      <c r="D16" s="71" t="str">
        <f t="shared" si="1"/>
        <v>B LDU R1,R0,3</v>
      </c>
      <c r="E16" s="60"/>
      <c r="F16" s="61" t="s">
        <v>216</v>
      </c>
      <c r="G16" s="49" t="str">
        <f t="shared" ref="G16:G17" si="11">IF(K16&gt;=0,"LDU","LD")</f>
        <v>LDU</v>
      </c>
      <c r="H16" s="62">
        <v>1</v>
      </c>
      <c r="I16" s="62">
        <v>0</v>
      </c>
      <c r="J16" s="62" t="s">
        <v>213</v>
      </c>
      <c r="K16" s="105">
        <v>3</v>
      </c>
      <c r="L16" s="146" t="str">
        <f>RIGHT(DEC2HEX(K16,10),8)</f>
        <v>00000003</v>
      </c>
      <c r="M16" s="150">
        <f t="shared" si="2"/>
        <v>9</v>
      </c>
      <c r="N16" s="107"/>
      <c r="O16" s="108">
        <f t="shared" si="3"/>
        <v>0</v>
      </c>
      <c r="P16" s="109" t="str">
        <f t="shared" ref="P16" si="12">L16</f>
        <v>00000003</v>
      </c>
      <c r="Q16" s="110"/>
      <c r="R16" s="111"/>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23"/>
      <c r="AU16" s="104"/>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row>
    <row r="17" spans="1:82" ht="17.25" thickTop="1" thickBot="1">
      <c r="A17" s="63" t="str">
        <f t="shared" si="0"/>
        <v>LDU#</v>
      </c>
      <c r="B17" s="22" t="str">
        <f>"R["&amp;H17&amp;"] &lt;= "&amp;K17</f>
        <v>R[2] &lt;= 9</v>
      </c>
      <c r="C17" s="75" t="s">
        <v>213</v>
      </c>
      <c r="D17" s="69" t="str">
        <f t="shared" si="1"/>
        <v>B LDU R2,R0,9</v>
      </c>
      <c r="E17" s="51"/>
      <c r="F17" s="49" t="s">
        <v>216</v>
      </c>
      <c r="G17" s="49" t="str">
        <f t="shared" si="11"/>
        <v>LDU</v>
      </c>
      <c r="H17" s="50">
        <v>2</v>
      </c>
      <c r="I17" s="50">
        <v>0</v>
      </c>
      <c r="J17" s="50" t="s">
        <v>213</v>
      </c>
      <c r="K17" s="50">
        <v>9</v>
      </c>
      <c r="L17" s="147" t="str">
        <f>RIGHT(DEC2HEX(K17,10),8)</f>
        <v>00000009</v>
      </c>
      <c r="M17" s="151">
        <f t="shared" si="2"/>
        <v>10</v>
      </c>
      <c r="N17" s="113"/>
      <c r="O17" s="114">
        <f t="shared" si="3"/>
        <v>0</v>
      </c>
      <c r="P17" s="115" t="str">
        <f t="shared" ref="P17:P18" si="13">P16</f>
        <v>00000003</v>
      </c>
      <c r="Q17" s="116" t="str">
        <f t="shared" ref="Q17" si="14">L17</f>
        <v>00000009</v>
      </c>
      <c r="R17" s="117"/>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23"/>
      <c r="AU17" s="104"/>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row>
    <row r="18" spans="1:82" ht="33" thickTop="1" thickBot="1">
      <c r="A18" s="78" t="str">
        <f t="shared" si="0"/>
        <v>AND</v>
      </c>
      <c r="B18" s="65" t="str">
        <f>"R["&amp;H18&amp;"] &lt;= R["&amp;I18&amp;"] &amp; R["&amp;J18&amp;"]"</f>
        <v>R[3] &lt;= R[1] &amp; R[2]</v>
      </c>
      <c r="C18" s="76" t="s">
        <v>355</v>
      </c>
      <c r="D18" s="70" t="str">
        <f t="shared" si="1"/>
        <v>A AND R3,R1,R2</v>
      </c>
      <c r="E18" s="52"/>
      <c r="F18" s="124" t="s">
        <v>212</v>
      </c>
      <c r="G18" s="124" t="s">
        <v>17</v>
      </c>
      <c r="H18" s="54">
        <v>3</v>
      </c>
      <c r="I18" s="54">
        <v>1</v>
      </c>
      <c r="J18" s="54">
        <v>2</v>
      </c>
      <c r="K18" s="54" t="s">
        <v>213</v>
      </c>
      <c r="L18" s="148" t="s">
        <v>213</v>
      </c>
      <c r="M18" s="152">
        <f t="shared" si="2"/>
        <v>11</v>
      </c>
      <c r="N18" s="119"/>
      <c r="O18" s="120">
        <f t="shared" si="3"/>
        <v>0</v>
      </c>
      <c r="P18" s="121" t="str">
        <f t="shared" si="13"/>
        <v>00000003</v>
      </c>
      <c r="Q18" s="122" t="str">
        <f t="shared" ref="Q18" si="15">Q17</f>
        <v>00000009</v>
      </c>
      <c r="R18" s="123" t="str">
        <f>DEC2HEX(BITWISE_AND(HEX2DEC(P18),HEX2DEC(Q18)))</f>
        <v>1</v>
      </c>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23"/>
      <c r="AU18" s="104"/>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row>
    <row r="19" spans="1:82" ht="17.25" thickTop="1" thickBot="1">
      <c r="A19" s="58" t="str">
        <f t="shared" si="0"/>
        <v>LDU#</v>
      </c>
      <c r="B19" s="59" t="str">
        <f>"R["&amp;H19&amp;"] &lt;= "&amp;K19</f>
        <v>R[1] &lt;= 9</v>
      </c>
      <c r="C19" s="75" t="s">
        <v>213</v>
      </c>
      <c r="D19" s="91" t="str">
        <f t="shared" si="1"/>
        <v>B LDU R1,R0,9</v>
      </c>
      <c r="E19" s="60"/>
      <c r="F19" s="61" t="s">
        <v>216</v>
      </c>
      <c r="G19" s="49" t="str">
        <f t="shared" ref="G19:G20" si="16">IF(K19&gt;=0,"LDU","LD")</f>
        <v>LDU</v>
      </c>
      <c r="H19" s="62">
        <v>1</v>
      </c>
      <c r="I19" s="62">
        <v>0</v>
      </c>
      <c r="J19" s="62" t="s">
        <v>213</v>
      </c>
      <c r="K19" s="105">
        <v>9</v>
      </c>
      <c r="L19" s="146" t="str">
        <f>RIGHT(DEC2HEX(K19,10),8)</f>
        <v>00000009</v>
      </c>
      <c r="M19" s="150">
        <f t="shared" si="2"/>
        <v>12</v>
      </c>
      <c r="N19" s="107"/>
      <c r="O19" s="108">
        <f t="shared" si="3"/>
        <v>0</v>
      </c>
      <c r="P19" s="109" t="str">
        <f t="shared" ref="P19" si="17">L19</f>
        <v>00000009</v>
      </c>
      <c r="Q19" s="110"/>
      <c r="R19" s="111"/>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23"/>
      <c r="AU19" s="104"/>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row>
    <row r="20" spans="1:82" ht="17.25" thickTop="1" thickBot="1">
      <c r="A20" s="63" t="str">
        <f t="shared" si="0"/>
        <v>LDU#</v>
      </c>
      <c r="B20" s="22" t="str">
        <f>"R["&amp;H20&amp;"] &lt;= "&amp;K20</f>
        <v>R[2] &lt;= 5</v>
      </c>
      <c r="C20" s="75" t="s">
        <v>213</v>
      </c>
      <c r="D20" s="92" t="str">
        <f t="shared" si="1"/>
        <v>B LDU R2,R0,5</v>
      </c>
      <c r="E20" s="51"/>
      <c r="F20" s="49" t="s">
        <v>216</v>
      </c>
      <c r="G20" s="49" t="str">
        <f t="shared" si="16"/>
        <v>LDU</v>
      </c>
      <c r="H20" s="50">
        <v>2</v>
      </c>
      <c r="I20" s="50">
        <v>0</v>
      </c>
      <c r="J20" s="50" t="s">
        <v>213</v>
      </c>
      <c r="K20" s="50">
        <v>5</v>
      </c>
      <c r="L20" s="147" t="str">
        <f>RIGHT(DEC2HEX(K20,10),8)</f>
        <v>00000005</v>
      </c>
      <c r="M20" s="151">
        <f t="shared" si="2"/>
        <v>13</v>
      </c>
      <c r="N20" s="113"/>
      <c r="O20" s="114">
        <f t="shared" si="3"/>
        <v>0</v>
      </c>
      <c r="P20" s="115" t="str">
        <f t="shared" ref="P20:P21" si="18">P19</f>
        <v>00000009</v>
      </c>
      <c r="Q20" s="116" t="str">
        <f t="shared" ref="Q20" si="19">L20</f>
        <v>00000005</v>
      </c>
      <c r="R20" s="117"/>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23"/>
      <c r="AU20" s="104"/>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row>
    <row r="21" spans="1:82" ht="33" thickTop="1" thickBot="1">
      <c r="A21" s="78" t="str">
        <f t="shared" si="0"/>
        <v>OR</v>
      </c>
      <c r="B21" s="65" t="str">
        <f>"R["&amp;H21&amp;"] &lt;= R["&amp;I21&amp;"] | R["&amp;J21&amp;"]"</f>
        <v>R[3] &lt;= R[1] | R[2]</v>
      </c>
      <c r="C21" s="76" t="s">
        <v>356</v>
      </c>
      <c r="D21" s="93" t="str">
        <f t="shared" si="1"/>
        <v>A OR R3,R1,R2</v>
      </c>
      <c r="E21" s="66"/>
      <c r="F21" s="118" t="s">
        <v>212</v>
      </c>
      <c r="G21" s="118" t="s">
        <v>20</v>
      </c>
      <c r="H21" s="68">
        <v>3</v>
      </c>
      <c r="I21" s="68">
        <v>1</v>
      </c>
      <c r="J21" s="68">
        <v>2</v>
      </c>
      <c r="K21" s="68" t="s">
        <v>213</v>
      </c>
      <c r="L21" s="148" t="s">
        <v>213</v>
      </c>
      <c r="M21" s="152">
        <f t="shared" si="2"/>
        <v>14</v>
      </c>
      <c r="N21" s="119"/>
      <c r="O21" s="120">
        <f t="shared" si="3"/>
        <v>0</v>
      </c>
      <c r="P21" s="121" t="str">
        <f t="shared" si="18"/>
        <v>00000009</v>
      </c>
      <c r="Q21" s="122" t="str">
        <f t="shared" ref="Q21" si="20">Q20</f>
        <v>00000005</v>
      </c>
      <c r="R21" s="123" t="str">
        <f>DEC2HEX(BITWISE_OR(HEX2DEC(P21),HEX2DEC(Q21)))</f>
        <v>D</v>
      </c>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23"/>
      <c r="AU21" s="104"/>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row>
    <row r="22" spans="1:82" ht="17.25" thickTop="1" thickBot="1">
      <c r="A22" s="58" t="str">
        <f t="shared" si="0"/>
        <v>LDU#</v>
      </c>
      <c r="B22" s="59" t="str">
        <f>"R["&amp;H22&amp;"] &lt;= "&amp;K22</f>
        <v>R[1] &lt;= 2</v>
      </c>
      <c r="C22" s="75" t="s">
        <v>213</v>
      </c>
      <c r="D22" s="91" t="str">
        <f t="shared" si="1"/>
        <v>B LDU R1,R0,2</v>
      </c>
      <c r="E22" s="60"/>
      <c r="F22" s="61" t="s">
        <v>216</v>
      </c>
      <c r="G22" s="49" t="str">
        <f t="shared" ref="G22:G23" si="21">IF(K22&gt;=0,"LDU","LD")</f>
        <v>LDU</v>
      </c>
      <c r="H22" s="62">
        <v>1</v>
      </c>
      <c r="I22" s="62">
        <v>0</v>
      </c>
      <c r="J22" s="62" t="s">
        <v>213</v>
      </c>
      <c r="K22" s="105">
        <v>2</v>
      </c>
      <c r="L22" s="146" t="str">
        <f>RIGHT(DEC2HEX(K22,10),8)</f>
        <v>00000002</v>
      </c>
      <c r="M22" s="150">
        <f t="shared" si="2"/>
        <v>15</v>
      </c>
      <c r="N22" s="107"/>
      <c r="O22" s="108">
        <f t="shared" si="3"/>
        <v>0</v>
      </c>
      <c r="P22" s="109" t="str">
        <f t="shared" ref="P22" si="22">L22</f>
        <v>00000002</v>
      </c>
      <c r="Q22" s="110"/>
      <c r="R22" s="111"/>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23"/>
      <c r="AU22" s="104"/>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row>
    <row r="23" spans="1:82" ht="17.25" thickTop="1" thickBot="1">
      <c r="A23" s="63" t="str">
        <f t="shared" si="0"/>
        <v>LDU#</v>
      </c>
      <c r="B23" s="22" t="str">
        <f>"R["&amp;H23&amp;"] &lt;= "&amp;K23</f>
        <v>R[2] &lt;= 9</v>
      </c>
      <c r="C23" s="75" t="s">
        <v>213</v>
      </c>
      <c r="D23" s="92" t="str">
        <f t="shared" si="1"/>
        <v>B LDU R2,R0,9</v>
      </c>
      <c r="E23" s="51"/>
      <c r="F23" s="49" t="s">
        <v>216</v>
      </c>
      <c r="G23" s="49" t="str">
        <f t="shared" si="21"/>
        <v>LDU</v>
      </c>
      <c r="H23" s="50">
        <v>2</v>
      </c>
      <c r="I23" s="50">
        <v>0</v>
      </c>
      <c r="J23" s="50" t="s">
        <v>213</v>
      </c>
      <c r="K23" s="50">
        <v>9</v>
      </c>
      <c r="L23" s="147" t="str">
        <f>RIGHT(DEC2HEX(K23,10),8)</f>
        <v>00000009</v>
      </c>
      <c r="M23" s="151">
        <f t="shared" si="2"/>
        <v>16</v>
      </c>
      <c r="N23" s="113"/>
      <c r="O23" s="114">
        <f t="shared" si="3"/>
        <v>0</v>
      </c>
      <c r="P23" s="115" t="str">
        <f t="shared" ref="P23:P24" si="23">P22</f>
        <v>00000002</v>
      </c>
      <c r="Q23" s="116" t="str">
        <f t="shared" ref="Q23" si="24">L23</f>
        <v>00000009</v>
      </c>
      <c r="R23" s="117"/>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23"/>
      <c r="AU23" s="104"/>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row>
    <row r="24" spans="1:82" ht="33" thickTop="1" thickBot="1">
      <c r="A24" s="78" t="str">
        <f t="shared" si="0"/>
        <v>XOR</v>
      </c>
      <c r="B24" s="65" t="str">
        <f>"R["&amp;H24&amp;"] &lt;= XOR(R["&amp;I24&amp;"] , R["&amp;J24&amp;"])"</f>
        <v>R[3] &lt;= XOR(R[1] , R[2])</v>
      </c>
      <c r="C24" s="76" t="s">
        <v>357</v>
      </c>
      <c r="D24" s="93" t="str">
        <f t="shared" si="1"/>
        <v>A XOR R3,R1,R2</v>
      </c>
      <c r="E24" s="66"/>
      <c r="F24" s="118" t="s">
        <v>212</v>
      </c>
      <c r="G24" s="118" t="s">
        <v>26</v>
      </c>
      <c r="H24" s="68">
        <v>3</v>
      </c>
      <c r="I24" s="68">
        <v>1</v>
      </c>
      <c r="J24" s="68">
        <v>2</v>
      </c>
      <c r="K24" s="68" t="s">
        <v>213</v>
      </c>
      <c r="L24" s="148" t="s">
        <v>213</v>
      </c>
      <c r="M24" s="152">
        <f t="shared" si="2"/>
        <v>17</v>
      </c>
      <c r="N24" s="119"/>
      <c r="O24" s="120">
        <f t="shared" si="3"/>
        <v>0</v>
      </c>
      <c r="P24" s="121" t="str">
        <f t="shared" si="23"/>
        <v>00000002</v>
      </c>
      <c r="Q24" s="122" t="str">
        <f t="shared" ref="Q24" si="25">Q23</f>
        <v>00000009</v>
      </c>
      <c r="R24" s="123" t="str">
        <f>DEC2HEX(BITWISE_XOR(HEX2DEC(P24),HEX2DEC(Q24)))</f>
        <v>B</v>
      </c>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23"/>
      <c r="AU24" s="104"/>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row>
    <row r="25" spans="1:82" ht="17.25" thickTop="1" thickBot="1">
      <c r="A25" s="58" t="str">
        <f t="shared" si="0"/>
        <v>LDU#</v>
      </c>
      <c r="B25" s="59" t="str">
        <f>"R["&amp;H25&amp;"] &lt;= "&amp;K25</f>
        <v>R[1] &lt;= 2</v>
      </c>
      <c r="C25" s="75" t="s">
        <v>213</v>
      </c>
      <c r="D25" s="91" t="str">
        <f t="shared" si="1"/>
        <v>B LDU R1,R0,2</v>
      </c>
      <c r="E25" s="60"/>
      <c r="F25" s="61" t="s">
        <v>216</v>
      </c>
      <c r="G25" s="49" t="str">
        <f t="shared" ref="G25:G26" si="26">IF(K25&gt;=0,"LDU","LD")</f>
        <v>LDU</v>
      </c>
      <c r="H25" s="62">
        <v>1</v>
      </c>
      <c r="I25" s="62">
        <v>0</v>
      </c>
      <c r="J25" s="62" t="s">
        <v>213</v>
      </c>
      <c r="K25" s="105">
        <v>2</v>
      </c>
      <c r="L25" s="146" t="str">
        <f>RIGHT(DEC2HEX(K25,10),8)</f>
        <v>00000002</v>
      </c>
      <c r="M25" s="150">
        <f t="shared" si="2"/>
        <v>18</v>
      </c>
      <c r="N25" s="107"/>
      <c r="O25" s="108">
        <f t="shared" si="3"/>
        <v>0</v>
      </c>
      <c r="P25" s="109" t="str">
        <f t="shared" ref="P25" si="27">L25</f>
        <v>00000002</v>
      </c>
      <c r="Q25" s="110"/>
      <c r="R25" s="111"/>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23"/>
      <c r="AU25" s="104"/>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row>
    <row r="26" spans="1:82" ht="17.25" thickTop="1" thickBot="1">
      <c r="A26" s="63" t="str">
        <f t="shared" si="0"/>
        <v>LDU#</v>
      </c>
      <c r="B26" s="22" t="str">
        <f>"R["&amp;H26&amp;"] &lt;= "&amp;K26</f>
        <v>R[2] &lt;= 0</v>
      </c>
      <c r="C26" s="75" t="s">
        <v>213</v>
      </c>
      <c r="D26" s="92" t="str">
        <f t="shared" si="1"/>
        <v>B LDU R2,R0,0</v>
      </c>
      <c r="E26" s="51"/>
      <c r="F26" s="49" t="s">
        <v>216</v>
      </c>
      <c r="G26" s="49" t="str">
        <f t="shared" si="26"/>
        <v>LDU</v>
      </c>
      <c r="H26" s="50">
        <v>2</v>
      </c>
      <c r="I26" s="50">
        <v>0</v>
      </c>
      <c r="J26" s="50" t="s">
        <v>213</v>
      </c>
      <c r="K26" s="50">
        <v>0</v>
      </c>
      <c r="L26" s="147" t="str">
        <f>RIGHT(DEC2HEX(K26,10),8)</f>
        <v>00000000</v>
      </c>
      <c r="M26" s="151">
        <f t="shared" si="2"/>
        <v>19</v>
      </c>
      <c r="N26" s="113"/>
      <c r="O26" s="114">
        <f t="shared" si="3"/>
        <v>0</v>
      </c>
      <c r="P26" s="115" t="str">
        <f t="shared" ref="P26:P27" si="28">P25</f>
        <v>00000002</v>
      </c>
      <c r="Q26" s="116" t="str">
        <f t="shared" ref="Q26" si="29">L26</f>
        <v>00000000</v>
      </c>
      <c r="R26" s="117"/>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23"/>
      <c r="AU26" s="104"/>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row>
    <row r="27" spans="1:82" ht="80.25" thickTop="1" thickBot="1">
      <c r="A27" s="78" t="str">
        <f t="shared" si="0"/>
        <v>COMP</v>
      </c>
      <c r="B27" s="65" t="str">
        <f>"R["&amp;H27&amp;"] &lt;= -R["&amp;I27&amp;"] -1"</f>
        <v>R[3] &lt;= -R[1] -1</v>
      </c>
      <c r="C27" s="76" t="s">
        <v>358</v>
      </c>
      <c r="D27" s="93" t="str">
        <f t="shared" si="1"/>
        <v>A COMP R3,R1,R0</v>
      </c>
      <c r="E27" s="66"/>
      <c r="F27" s="118" t="s">
        <v>212</v>
      </c>
      <c r="G27" s="118" t="s">
        <v>29</v>
      </c>
      <c r="H27" s="68">
        <v>3</v>
      </c>
      <c r="I27" s="68">
        <v>1</v>
      </c>
      <c r="J27" s="68">
        <v>0</v>
      </c>
      <c r="K27" s="68" t="s">
        <v>213</v>
      </c>
      <c r="L27" s="148" t="s">
        <v>213</v>
      </c>
      <c r="M27" s="152">
        <f t="shared" si="2"/>
        <v>20</v>
      </c>
      <c r="N27" s="119"/>
      <c r="O27" s="120">
        <f t="shared" si="3"/>
        <v>0</v>
      </c>
      <c r="P27" s="121" t="str">
        <f t="shared" si="28"/>
        <v>00000002</v>
      </c>
      <c r="Q27" s="122" t="str">
        <f>Q26</f>
        <v>00000000</v>
      </c>
      <c r="R27" s="123" t="str">
        <f>DEC2HEX(-HEX2DEC(P27)-1)</f>
        <v>FFFFFFFFFD</v>
      </c>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23"/>
      <c r="AU27" s="104"/>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row>
    <row r="28" spans="1:82" ht="17.25" thickTop="1" thickBot="1">
      <c r="A28" s="58" t="str">
        <f t="shared" si="0"/>
        <v>LD#</v>
      </c>
      <c r="B28" s="59" t="str">
        <f>"R["&amp;H28&amp;"] &lt;= "&amp;K28</f>
        <v>R[1] &lt;= -7</v>
      </c>
      <c r="C28" s="75" t="s">
        <v>213</v>
      </c>
      <c r="D28" s="91" t="str">
        <f t="shared" si="1"/>
        <v>B LD R1,R0,-7</v>
      </c>
      <c r="E28" s="60"/>
      <c r="F28" s="61" t="s">
        <v>216</v>
      </c>
      <c r="G28" s="49" t="str">
        <f>IF(K28&gt;=0,"LDU","LD")</f>
        <v>LD</v>
      </c>
      <c r="H28" s="62">
        <v>1</v>
      </c>
      <c r="I28" s="62">
        <v>0</v>
      </c>
      <c r="J28" s="62" t="s">
        <v>213</v>
      </c>
      <c r="K28" s="105">
        <v>-7</v>
      </c>
      <c r="L28" s="146" t="str">
        <f>RIGHT(DEC2HEX(K28,10),8)</f>
        <v>FFFFFFF9</v>
      </c>
      <c r="M28" s="150">
        <f t="shared" si="2"/>
        <v>21</v>
      </c>
      <c r="N28" s="107"/>
      <c r="O28" s="108">
        <f t="shared" si="3"/>
        <v>0</v>
      </c>
      <c r="P28" s="109" t="str">
        <f t="shared" ref="P28" si="30">L28</f>
        <v>FFFFFFF9</v>
      </c>
      <c r="Q28" s="122" t="str">
        <f t="shared" ref="Q28:Q54" si="31">Q27</f>
        <v>00000000</v>
      </c>
      <c r="R28" s="111"/>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23"/>
      <c r="AU28" s="104"/>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row>
    <row r="29" spans="1:82" ht="33" thickTop="1" thickBot="1">
      <c r="A29" s="97" t="str">
        <f t="shared" ref="A29:A53" si="32">IF(AND(F29="B",IF(OR(G29="LD",G29="LDU",G29="ADD",G29="SUB",G29="AND",G29="OR",G29="XOR"),1,0)),CONCATENATE(G29,"#"),G29)</f>
        <v>LSL</v>
      </c>
      <c r="B29" s="65" t="str">
        <f>"R["&amp;H29&amp;"] &lt;=   R["&amp;I29&amp;"] &lt;&lt;"</f>
        <v>R[3] &lt;=   R[1] &lt;&lt;</v>
      </c>
      <c r="C29" s="76" t="s">
        <v>362</v>
      </c>
      <c r="D29" s="93" t="str">
        <f t="shared" si="1"/>
        <v>A LSL R3,R1,R0</v>
      </c>
      <c r="E29" s="66"/>
      <c r="F29" s="118" t="s">
        <v>212</v>
      </c>
      <c r="G29" s="118" t="s">
        <v>41</v>
      </c>
      <c r="H29" s="68">
        <v>3</v>
      </c>
      <c r="I29" s="68">
        <v>1</v>
      </c>
      <c r="J29" s="68">
        <v>0</v>
      </c>
      <c r="K29" s="68" t="s">
        <v>213</v>
      </c>
      <c r="L29" s="148" t="s">
        <v>213</v>
      </c>
      <c r="M29" s="152">
        <f t="shared" si="2"/>
        <v>22</v>
      </c>
      <c r="N29" s="119"/>
      <c r="O29" s="120">
        <f t="shared" si="3"/>
        <v>0</v>
      </c>
      <c r="P29" s="121" t="str">
        <f t="shared" ref="P29" si="33">P28</f>
        <v>FFFFFFF9</v>
      </c>
      <c r="Q29" s="122" t="str">
        <f t="shared" si="31"/>
        <v>00000000</v>
      </c>
      <c r="R29" s="125" t="str">
        <f>DEC2HEX(LogicalShiftLeft(K28,1))</f>
        <v>FFFFFFFFF2</v>
      </c>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23"/>
      <c r="AU29" s="104"/>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row>
    <row r="30" spans="1:82" s="47" customFormat="1" ht="17.25" thickTop="1" thickBot="1">
      <c r="A30" s="58" t="str">
        <f t="shared" si="32"/>
        <v>LD#</v>
      </c>
      <c r="B30" s="59" t="str">
        <f>"R["&amp;H30&amp;"] &lt;= "&amp;K30</f>
        <v>R[1] &lt;= -10</v>
      </c>
      <c r="C30" s="75" t="s">
        <v>213</v>
      </c>
      <c r="D30" s="91" t="str">
        <f t="shared" si="1"/>
        <v>B LD R1,R0,-10</v>
      </c>
      <c r="E30" s="60"/>
      <c r="F30" s="61" t="s">
        <v>216</v>
      </c>
      <c r="G30" s="49" t="str">
        <f t="shared" ref="G30" si="34">IF(K30&gt;=0,"LDU","LD")</f>
        <v>LD</v>
      </c>
      <c r="H30" s="62">
        <v>1</v>
      </c>
      <c r="I30" s="62">
        <v>0</v>
      </c>
      <c r="J30" s="62" t="s">
        <v>213</v>
      </c>
      <c r="K30" s="105">
        <v>-10</v>
      </c>
      <c r="L30" s="146" t="str">
        <f>RIGHT(DEC2HEX(K30,10),8)</f>
        <v>FFFFFFF6</v>
      </c>
      <c r="M30" s="150">
        <f t="shared" si="2"/>
        <v>23</v>
      </c>
      <c r="N30" s="107"/>
      <c r="O30" s="108">
        <f t="shared" si="3"/>
        <v>0</v>
      </c>
      <c r="P30" s="109" t="str">
        <f t="shared" ref="P30" si="35">L30</f>
        <v>FFFFFFF6</v>
      </c>
      <c r="Q30" s="122" t="str">
        <f t="shared" si="31"/>
        <v>00000000</v>
      </c>
      <c r="R30" s="111"/>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23"/>
      <c r="AU30" s="104"/>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row>
    <row r="31" spans="1:82" s="47" customFormat="1" ht="48.75" thickTop="1" thickBot="1">
      <c r="A31" s="97" t="str">
        <f t="shared" si="32"/>
        <v>LSR</v>
      </c>
      <c r="B31" s="65" t="str">
        <f>"R["&amp;H31&amp;"] &lt;=  &gt;&gt; R["&amp;I31&amp;"]"</f>
        <v>R[3] &lt;=  &gt;&gt; R[1]</v>
      </c>
      <c r="C31" s="76" t="s">
        <v>363</v>
      </c>
      <c r="D31" s="93" t="str">
        <f t="shared" si="1"/>
        <v>A LSR R3,R1,R2</v>
      </c>
      <c r="E31" s="66"/>
      <c r="F31" s="118" t="s">
        <v>212</v>
      </c>
      <c r="G31" s="118" t="s">
        <v>33</v>
      </c>
      <c r="H31" s="68">
        <v>3</v>
      </c>
      <c r="I31" s="68">
        <v>1</v>
      </c>
      <c r="J31" s="68">
        <v>2</v>
      </c>
      <c r="K31" s="68" t="s">
        <v>213</v>
      </c>
      <c r="L31" s="148" t="s">
        <v>213</v>
      </c>
      <c r="M31" s="152">
        <f t="shared" si="2"/>
        <v>24</v>
      </c>
      <c r="N31" s="119"/>
      <c r="O31" s="120">
        <f t="shared" si="3"/>
        <v>0</v>
      </c>
      <c r="P31" s="121" t="str">
        <f t="shared" ref="P31" si="36">P30</f>
        <v>FFFFFFF6</v>
      </c>
      <c r="Q31" s="122" t="str">
        <f t="shared" si="31"/>
        <v>00000000</v>
      </c>
      <c r="R31" s="125" t="str">
        <f>DEC2HEX(LogicalShiftRight(K30,1))</f>
        <v>FFFFFFFFFB</v>
      </c>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23"/>
      <c r="AU31" s="104"/>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row>
    <row r="32" spans="1:82" s="47" customFormat="1" ht="17.25" thickTop="1" thickBot="1">
      <c r="A32" s="58" t="str">
        <f t="shared" si="32"/>
        <v>LD#</v>
      </c>
      <c r="B32" s="59" t="str">
        <f>"R["&amp;H32&amp;"] &lt;= "&amp;K32</f>
        <v>R[1] &lt;= -7</v>
      </c>
      <c r="C32" s="75" t="s">
        <v>213</v>
      </c>
      <c r="D32" s="91" t="str">
        <f t="shared" si="1"/>
        <v>B LD R1,R0,-7</v>
      </c>
      <c r="E32" s="60"/>
      <c r="F32" s="61" t="s">
        <v>216</v>
      </c>
      <c r="G32" s="49" t="str">
        <f t="shared" ref="G32" si="37">IF(K32&gt;=0,"LDU","LD")</f>
        <v>LD</v>
      </c>
      <c r="H32" s="62">
        <v>1</v>
      </c>
      <c r="I32" s="62">
        <v>0</v>
      </c>
      <c r="J32" s="62" t="s">
        <v>213</v>
      </c>
      <c r="K32" s="105">
        <v>-7</v>
      </c>
      <c r="L32" s="146" t="str">
        <f>RIGHT(DEC2HEX(K32,10),8)</f>
        <v>FFFFFFF9</v>
      </c>
      <c r="M32" s="150">
        <f t="shared" si="2"/>
        <v>25</v>
      </c>
      <c r="N32" s="107"/>
      <c r="O32" s="108">
        <f t="shared" si="3"/>
        <v>0</v>
      </c>
      <c r="P32" s="109" t="str">
        <f t="shared" ref="P32" si="38">L32</f>
        <v>FFFFFFF9</v>
      </c>
      <c r="Q32" s="122" t="str">
        <f t="shared" si="31"/>
        <v>00000000</v>
      </c>
      <c r="R32" s="111"/>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23"/>
      <c r="AU32" s="104"/>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row>
    <row r="33" spans="1:82" s="47" customFormat="1" ht="48.75" thickTop="1" thickBot="1">
      <c r="A33" s="97" t="str">
        <f t="shared" si="32"/>
        <v>ASL</v>
      </c>
      <c r="B33" s="65" t="str">
        <f>"R["&amp;H33&amp;"] &lt;=  R["&amp;I33&amp;"]  &lt;&lt;&lt; "</f>
        <v xml:space="preserve">R[3] &lt;=  R[1]  &lt;&lt;&lt; </v>
      </c>
      <c r="C33" s="76" t="s">
        <v>364</v>
      </c>
      <c r="D33" s="93" t="str">
        <f t="shared" si="1"/>
        <v>A ASL R3,R1,R0</v>
      </c>
      <c r="E33" s="66"/>
      <c r="F33" s="118" t="s">
        <v>212</v>
      </c>
      <c r="G33" s="118" t="s">
        <v>43</v>
      </c>
      <c r="H33" s="68">
        <v>3</v>
      </c>
      <c r="I33" s="68">
        <v>1</v>
      </c>
      <c r="J33" s="68">
        <v>0</v>
      </c>
      <c r="K33" s="68" t="s">
        <v>213</v>
      </c>
      <c r="L33" s="148" t="s">
        <v>213</v>
      </c>
      <c r="M33" s="152">
        <f t="shared" si="2"/>
        <v>26</v>
      </c>
      <c r="N33" s="119"/>
      <c r="O33" s="120">
        <f t="shared" si="3"/>
        <v>0</v>
      </c>
      <c r="P33" s="121" t="str">
        <f t="shared" ref="P33" si="39">P32</f>
        <v>FFFFFFF9</v>
      </c>
      <c r="Q33" s="122" t="str">
        <f t="shared" si="31"/>
        <v>00000000</v>
      </c>
      <c r="R33" s="125" t="str">
        <f>DEC2HEX(ArithmeticalShiftLeft(K32,1))</f>
        <v>FFFFFFFFF2</v>
      </c>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23"/>
      <c r="AU33" s="104"/>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row>
    <row r="34" spans="1:82" s="47" customFormat="1" ht="17.25" thickTop="1" thickBot="1">
      <c r="A34" s="58" t="str">
        <f t="shared" si="32"/>
        <v>LD#</v>
      </c>
      <c r="B34" s="59" t="str">
        <f>"R["&amp;H34&amp;"] &lt;= "&amp;K34</f>
        <v>R[1] &lt;= -5</v>
      </c>
      <c r="C34" s="75" t="s">
        <v>213</v>
      </c>
      <c r="D34" s="91" t="str">
        <f t="shared" si="1"/>
        <v>B LD R1,R0,-5</v>
      </c>
      <c r="E34" s="60"/>
      <c r="F34" s="61" t="s">
        <v>216</v>
      </c>
      <c r="G34" s="49" t="str">
        <f t="shared" ref="G34" si="40">IF(K34&gt;=0,"LDU","LD")</f>
        <v>LD</v>
      </c>
      <c r="H34" s="62">
        <v>1</v>
      </c>
      <c r="I34" s="62">
        <v>0</v>
      </c>
      <c r="J34" s="62" t="s">
        <v>213</v>
      </c>
      <c r="K34" s="105">
        <v>-5</v>
      </c>
      <c r="L34" s="146" t="str">
        <f>RIGHT(DEC2HEX(K34,10),8)</f>
        <v>FFFFFFFB</v>
      </c>
      <c r="M34" s="150">
        <f t="shared" si="2"/>
        <v>27</v>
      </c>
      <c r="N34" s="107"/>
      <c r="O34" s="108">
        <f t="shared" si="3"/>
        <v>0</v>
      </c>
      <c r="P34" s="109" t="str">
        <f t="shared" ref="P34" si="41">L34</f>
        <v>FFFFFFFB</v>
      </c>
      <c r="Q34" s="122" t="str">
        <f t="shared" si="31"/>
        <v>00000000</v>
      </c>
      <c r="R34" s="111"/>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23"/>
      <c r="AU34" s="104"/>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row>
    <row r="35" spans="1:82" s="47" customFormat="1" ht="48.75" thickTop="1" thickBot="1">
      <c r="A35" s="97" t="str">
        <f t="shared" si="32"/>
        <v>ASR</v>
      </c>
      <c r="B35" s="65" t="str">
        <f>"R["&amp;H35&amp;"] &lt;=  &gt;&gt;&gt; R["&amp;I35&amp;"]"</f>
        <v>R[3] &lt;=  &gt;&gt;&gt; R[1]</v>
      </c>
      <c r="C35" s="76" t="s">
        <v>365</v>
      </c>
      <c r="D35" s="93" t="str">
        <f t="shared" si="1"/>
        <v>A ASR R3,R1,R2</v>
      </c>
      <c r="E35" s="66"/>
      <c r="F35" s="118" t="s">
        <v>212</v>
      </c>
      <c r="G35" s="118" t="s">
        <v>37</v>
      </c>
      <c r="H35" s="68">
        <v>3</v>
      </c>
      <c r="I35" s="68">
        <v>1</v>
      </c>
      <c r="J35" s="68">
        <v>2</v>
      </c>
      <c r="K35" s="68" t="s">
        <v>213</v>
      </c>
      <c r="L35" s="148" t="s">
        <v>213</v>
      </c>
      <c r="M35" s="152">
        <f t="shared" si="2"/>
        <v>28</v>
      </c>
      <c r="N35" s="119"/>
      <c r="O35" s="120">
        <f t="shared" si="3"/>
        <v>0</v>
      </c>
      <c r="P35" s="121" t="str">
        <f t="shared" ref="P35" si="42">P34</f>
        <v>FFFFFFFB</v>
      </c>
      <c r="Q35" s="122" t="str">
        <f t="shared" si="31"/>
        <v>00000000</v>
      </c>
      <c r="R35" s="125" t="e">
        <f>DEC2HEX(ArithmeticalShiftRight(K34,1))</f>
        <v>#VALUE!</v>
      </c>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23"/>
      <c r="AU35" s="104"/>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row>
    <row r="36" spans="1:82" s="47" customFormat="1" ht="17.25" thickTop="1" thickBot="1">
      <c r="A36" s="58" t="str">
        <f t="shared" si="32"/>
        <v>LDU#</v>
      </c>
      <c r="B36" s="59" t="str">
        <f>"R["&amp;H36&amp;"] &lt;= "&amp;K36</f>
        <v>R[1] &lt;= 7</v>
      </c>
      <c r="C36" s="75" t="s">
        <v>213</v>
      </c>
      <c r="D36" s="91" t="str">
        <f t="shared" si="1"/>
        <v>B LDU R1,R0,7</v>
      </c>
      <c r="E36" s="60"/>
      <c r="F36" s="61" t="s">
        <v>216</v>
      </c>
      <c r="G36" s="49" t="str">
        <f t="shared" ref="G36" si="43">IF(K36&gt;=0,"LDU","LD")</f>
        <v>LDU</v>
      </c>
      <c r="H36" s="62">
        <v>1</v>
      </c>
      <c r="I36" s="62">
        <v>0</v>
      </c>
      <c r="J36" s="62" t="s">
        <v>213</v>
      </c>
      <c r="K36" s="105">
        <v>7</v>
      </c>
      <c r="L36" s="146" t="str">
        <f>RIGHT(DEC2HEX(K36,10),8)</f>
        <v>00000007</v>
      </c>
      <c r="M36" s="150">
        <f t="shared" si="2"/>
        <v>29</v>
      </c>
      <c r="N36" s="107"/>
      <c r="O36" s="108">
        <f t="shared" si="3"/>
        <v>0</v>
      </c>
      <c r="P36" s="109" t="str">
        <f t="shared" ref="P36" si="44">L36</f>
        <v>00000007</v>
      </c>
      <c r="Q36" s="122" t="str">
        <f t="shared" si="31"/>
        <v>00000000</v>
      </c>
      <c r="R36" s="111"/>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23"/>
      <c r="AU36" s="104"/>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row>
    <row r="37" spans="1:82" s="47" customFormat="1" ht="48.75" thickTop="1" thickBot="1">
      <c r="A37" s="78" t="str">
        <f t="shared" si="32"/>
        <v>ROL</v>
      </c>
      <c r="B37" s="65" t="str">
        <f>"R["&amp;H37&amp;"] &lt;=  {R["&amp;I37&amp;"]{30:0},CARRY_FLAG}"&amp;CHAR(10)&amp;"CARRY_FLAG &lt;=  R["&amp;I37&amp;"]{31}"</f>
        <v>R[3] &lt;=  {R[1]{30:0},CARRY_FLAG}
CARRY_FLAG &lt;=  R[1]{31}</v>
      </c>
      <c r="C37" s="76" t="s">
        <v>366</v>
      </c>
      <c r="D37" s="72" t="str">
        <f t="shared" si="1"/>
        <v>A ROL R3,R1,R0</v>
      </c>
      <c r="E37" s="66"/>
      <c r="F37" s="118" t="s">
        <v>212</v>
      </c>
      <c r="G37" s="118" t="s">
        <v>51</v>
      </c>
      <c r="H37" s="68">
        <v>3</v>
      </c>
      <c r="I37" s="68">
        <v>1</v>
      </c>
      <c r="J37" s="68">
        <v>0</v>
      </c>
      <c r="K37" s="68" t="s">
        <v>213</v>
      </c>
      <c r="L37" s="148" t="s">
        <v>213</v>
      </c>
      <c r="M37" s="152">
        <f t="shared" si="2"/>
        <v>30</v>
      </c>
      <c r="N37" s="119"/>
      <c r="O37" s="120">
        <f t="shared" si="3"/>
        <v>0</v>
      </c>
      <c r="P37" s="121" t="str">
        <f t="shared" ref="P37" si="45">P36</f>
        <v>00000007</v>
      </c>
      <c r="Q37" s="122" t="str">
        <f t="shared" si="31"/>
        <v>00000000</v>
      </c>
      <c r="R37" s="123" t="str">
        <f>DEC2HEX(LogicalShiftLeft(P37,1))&amp;" | "&amp;DEC2HEX(2^0+LogicalShiftLeft(P37,1))</f>
        <v>E | F</v>
      </c>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23"/>
      <c r="AU37" s="104"/>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row>
    <row r="38" spans="1:82" s="47" customFormat="1" ht="17.25" thickTop="1" thickBot="1">
      <c r="A38" s="58" t="str">
        <f t="shared" si="32"/>
        <v>LDU#</v>
      </c>
      <c r="B38" s="59" t="str">
        <f>"R["&amp;H38&amp;"] &lt;= "&amp;K38</f>
        <v>R[1] &lt;= 7</v>
      </c>
      <c r="C38" s="75" t="s">
        <v>213</v>
      </c>
      <c r="D38" s="91" t="str">
        <f t="shared" si="1"/>
        <v>B LDU R1,R0,7</v>
      </c>
      <c r="E38" s="60"/>
      <c r="F38" s="61" t="s">
        <v>216</v>
      </c>
      <c r="G38" s="49" t="str">
        <f t="shared" ref="G38" si="46">IF(K38&gt;=0,"LDU","LD")</f>
        <v>LDU</v>
      </c>
      <c r="H38" s="62">
        <v>1</v>
      </c>
      <c r="I38" s="62">
        <v>0</v>
      </c>
      <c r="J38" s="62" t="s">
        <v>213</v>
      </c>
      <c r="K38" s="105">
        <v>7</v>
      </c>
      <c r="L38" s="146" t="str">
        <f>RIGHT(DEC2HEX(K38,10),8)</f>
        <v>00000007</v>
      </c>
      <c r="M38" s="150">
        <f t="shared" si="2"/>
        <v>31</v>
      </c>
      <c r="N38" s="107"/>
      <c r="O38" s="108">
        <f t="shared" si="3"/>
        <v>0</v>
      </c>
      <c r="P38" s="109" t="str">
        <f t="shared" ref="P38" si="47">L38</f>
        <v>00000007</v>
      </c>
      <c r="Q38" s="122" t="str">
        <f t="shared" si="31"/>
        <v>00000000</v>
      </c>
      <c r="R38" s="111"/>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23"/>
      <c r="AU38" s="104"/>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row>
    <row r="39" spans="1:82" s="47" customFormat="1" ht="48.75" thickTop="1" thickBot="1">
      <c r="A39" s="94" t="str">
        <f t="shared" si="32"/>
        <v>ROR</v>
      </c>
      <c r="B39" s="48" t="str">
        <f>"R["&amp;H39&amp;"] &lt;=  {CARRY_FLAG,R["&amp;I39&amp;"]{31:1}}"&amp;CHAR(10)&amp;"CARRY_FLAG &lt;=  R["&amp;I39&amp;"]{30}"</f>
        <v>R[3] &lt;=  {CARRY_FLAG,R[1]{31:1}}
CARRY_FLAG &lt;=  R[1]{30}</v>
      </c>
      <c r="C39" s="95" t="s">
        <v>367</v>
      </c>
      <c r="D39" s="93" t="str">
        <f t="shared" si="1"/>
        <v>A ROR R3,R1,R0</v>
      </c>
      <c r="E39" s="66"/>
      <c r="F39" s="118" t="s">
        <v>212</v>
      </c>
      <c r="G39" s="118" t="s">
        <v>47</v>
      </c>
      <c r="H39" s="68">
        <v>3</v>
      </c>
      <c r="I39" s="68">
        <v>1</v>
      </c>
      <c r="J39" s="68">
        <v>0</v>
      </c>
      <c r="K39" s="68" t="s">
        <v>213</v>
      </c>
      <c r="L39" s="148" t="s">
        <v>213</v>
      </c>
      <c r="M39" s="152">
        <f t="shared" si="2"/>
        <v>32</v>
      </c>
      <c r="N39" s="197" t="s">
        <v>368</v>
      </c>
      <c r="O39" s="120">
        <f t="shared" si="3"/>
        <v>0</v>
      </c>
      <c r="P39" s="121" t="str">
        <f t="shared" ref="P39" si="48">P38</f>
        <v>00000007</v>
      </c>
      <c r="Q39" s="122" t="str">
        <f t="shared" si="31"/>
        <v>00000000</v>
      </c>
      <c r="R39" s="123" t="str">
        <f>DEC2HEX(LogicalShiftRight(P39,1))&amp;" | "&amp;DEC2HEX(2^31+LogicalShiftRight(P39,1))</f>
        <v>3 | 80000003</v>
      </c>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23"/>
      <c r="AU39" s="104"/>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row>
    <row r="40" spans="1:82" s="47" customFormat="1" ht="16.5" thickBot="1">
      <c r="A40" s="154" t="str">
        <f t="shared" si="32"/>
        <v>LDU#</v>
      </c>
      <c r="B40" s="59" t="str">
        <f>"R["&amp;H40&amp;"] &lt;= "&amp;K40</f>
        <v>R[1] &lt;= 1</v>
      </c>
      <c r="C40" s="74" t="s">
        <v>213</v>
      </c>
      <c r="D40" s="91" t="str">
        <f t="shared" si="1"/>
        <v>B LDU R1,R0,1</v>
      </c>
      <c r="E40" s="60"/>
      <c r="F40" s="61" t="s">
        <v>216</v>
      </c>
      <c r="G40" s="49" t="str">
        <f>IF(K40&gt;=0,"LDU","LD")</f>
        <v>LDU</v>
      </c>
      <c r="H40" s="62">
        <v>1</v>
      </c>
      <c r="I40" s="62">
        <v>0</v>
      </c>
      <c r="J40" s="62" t="s">
        <v>213</v>
      </c>
      <c r="K40" s="105">
        <v>1</v>
      </c>
      <c r="L40" s="146" t="str">
        <f>RIGHT(DEC2HEX(K40,10),8)</f>
        <v>00000001</v>
      </c>
      <c r="M40" s="61">
        <f t="shared" si="2"/>
        <v>33</v>
      </c>
      <c r="N40" s="107"/>
      <c r="O40" s="108">
        <f t="shared" si="3"/>
        <v>0</v>
      </c>
      <c r="P40" s="109" t="str">
        <f>L40</f>
        <v>00000001</v>
      </c>
      <c r="Q40" s="122" t="str">
        <f t="shared" si="31"/>
        <v>00000000</v>
      </c>
      <c r="R40" s="111"/>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23"/>
      <c r="AU40" s="104"/>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row>
    <row r="41" spans="1:82" s="47" customFormat="1" ht="127.5" thickTop="1" thickBot="1">
      <c r="A41" s="64" t="str">
        <f t="shared" si="32"/>
        <v>ADD#</v>
      </c>
      <c r="B41" s="65" t="str">
        <f>"R["&amp;H41&amp;"] &lt;= R["&amp;I41&amp;"] + "&amp;K41</f>
        <v>R[3] &lt;= R[1] + 4</v>
      </c>
      <c r="C41" s="76" t="s">
        <v>369</v>
      </c>
      <c r="D41" s="93" t="str">
        <f t="shared" si="1"/>
        <v>B ADD R3,R1,4</v>
      </c>
      <c r="E41" s="66"/>
      <c r="F41" s="157" t="s">
        <v>216</v>
      </c>
      <c r="G41" s="118" t="s">
        <v>11</v>
      </c>
      <c r="H41" s="68">
        <v>3</v>
      </c>
      <c r="I41" s="68">
        <v>1</v>
      </c>
      <c r="J41" s="68" t="s">
        <v>213</v>
      </c>
      <c r="K41" s="68">
        <v>4</v>
      </c>
      <c r="L41" s="148"/>
      <c r="M41" s="67">
        <f t="shared" si="2"/>
        <v>34</v>
      </c>
      <c r="N41" s="135"/>
      <c r="O41" s="120">
        <f t="shared" si="3"/>
        <v>0</v>
      </c>
      <c r="P41" s="121" t="str">
        <f>P40</f>
        <v>00000001</v>
      </c>
      <c r="Q41" s="122" t="str">
        <f t="shared" si="31"/>
        <v>00000000</v>
      </c>
      <c r="R41" s="123" t="str">
        <f>DEC2HEX(K40+K41)</f>
        <v>5</v>
      </c>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23"/>
      <c r="AU41" s="104"/>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row>
    <row r="42" spans="1:82" s="47" customFormat="1" ht="16.5" thickBot="1">
      <c r="A42" s="176" t="str">
        <f t="shared" si="32"/>
        <v>LD#</v>
      </c>
      <c r="B42" s="24" t="str">
        <f>"R["&amp;H42&amp;"] &lt;= "&amp;K42</f>
        <v>R[1] &lt;= -3</v>
      </c>
      <c r="C42" s="83" t="s">
        <v>213</v>
      </c>
      <c r="D42" s="73" t="str">
        <f t="shared" si="1"/>
        <v>B LD R1,R0,-3</v>
      </c>
      <c r="E42" s="55"/>
      <c r="F42" s="56" t="s">
        <v>216</v>
      </c>
      <c r="G42" s="49" t="str">
        <f>IF(K42&gt;=0,"LDU","LD")</f>
        <v>LD</v>
      </c>
      <c r="H42" s="57">
        <v>1</v>
      </c>
      <c r="I42" s="57">
        <v>0</v>
      </c>
      <c r="J42" s="57" t="s">
        <v>213</v>
      </c>
      <c r="K42" s="192">
        <v>-3</v>
      </c>
      <c r="L42" s="193" t="str">
        <f>RIGHT(DEC2HEX(K42,10),8)</f>
        <v>FFFFFFFD</v>
      </c>
      <c r="M42" s="56">
        <f t="shared" si="2"/>
        <v>35</v>
      </c>
      <c r="N42" s="126"/>
      <c r="O42" s="145">
        <f t="shared" si="3"/>
        <v>0</v>
      </c>
      <c r="P42" s="194" t="str">
        <f t="shared" ref="P42" si="49">L42</f>
        <v>FFFFFFFD</v>
      </c>
      <c r="Q42" s="122" t="str">
        <f t="shared" si="31"/>
        <v>00000000</v>
      </c>
      <c r="R42" s="196"/>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23"/>
      <c r="AU42" s="104"/>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row>
    <row r="43" spans="1:82" s="47" customFormat="1" ht="33" thickTop="1" thickBot="1">
      <c r="A43" s="64" t="str">
        <f t="shared" si="32"/>
        <v>SUB#</v>
      </c>
      <c r="B43" s="65" t="str">
        <f>"R["&amp;H43&amp;"] &lt;= R["&amp;I43&amp;"] -  "&amp;K43</f>
        <v>R[3] &lt;= R[1] -  -3</v>
      </c>
      <c r="C43" s="95" t="s">
        <v>354</v>
      </c>
      <c r="D43" s="70" t="str">
        <f t="shared" si="1"/>
        <v>B SUB R3,R1,-3</v>
      </c>
      <c r="E43" s="52"/>
      <c r="F43" s="158" t="s">
        <v>216</v>
      </c>
      <c r="G43" s="124" t="s">
        <v>14</v>
      </c>
      <c r="H43" s="54">
        <v>3</v>
      </c>
      <c r="I43" s="54">
        <v>1</v>
      </c>
      <c r="J43" s="54" t="s">
        <v>213</v>
      </c>
      <c r="K43" s="54">
        <v>-3</v>
      </c>
      <c r="L43" s="149" t="str">
        <f>RIGHT(DEC2HEX(K43,10),8)</f>
        <v>FFFFFFFD</v>
      </c>
      <c r="M43" s="53">
        <f t="shared" si="2"/>
        <v>36</v>
      </c>
      <c r="N43" s="133" t="s">
        <v>360</v>
      </c>
      <c r="O43" s="140">
        <f t="shared" si="3"/>
        <v>0</v>
      </c>
      <c r="P43" s="141" t="str">
        <f t="shared" ref="P43" si="50">P42</f>
        <v>FFFFFFFD</v>
      </c>
      <c r="Q43" s="122" t="str">
        <f t="shared" si="31"/>
        <v>00000000</v>
      </c>
      <c r="R43" s="143" t="str">
        <f>DEC2HEX(K42-K43)</f>
        <v>0</v>
      </c>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23"/>
      <c r="AU43" s="104"/>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row>
    <row r="44" spans="1:82" s="47" customFormat="1" ht="16.5" thickBot="1">
      <c r="A44" s="58" t="str">
        <f t="shared" si="32"/>
        <v>LDU#</v>
      </c>
      <c r="B44" s="198" t="str">
        <f>"R["&amp;H44&amp;"] &lt;= "&amp;K44</f>
        <v>R[1] &lt;= 15</v>
      </c>
      <c r="C44" s="200" t="s">
        <v>213</v>
      </c>
      <c r="D44" s="91" t="str">
        <f t="shared" si="1"/>
        <v>B LDU R1,R0,15</v>
      </c>
      <c r="E44" s="60"/>
      <c r="F44" s="61" t="s">
        <v>216</v>
      </c>
      <c r="G44" s="49" t="str">
        <f>IF(K44&gt;=0,"LDU","LD")</f>
        <v>LDU</v>
      </c>
      <c r="H44" s="62">
        <v>1</v>
      </c>
      <c r="I44" s="62">
        <v>0</v>
      </c>
      <c r="J44" s="62" t="s">
        <v>213</v>
      </c>
      <c r="K44" s="105">
        <v>15</v>
      </c>
      <c r="L44" s="146" t="str">
        <f>RIGHT(DEC2HEX(K44,10),8)</f>
        <v>0000000F</v>
      </c>
      <c r="M44" s="61">
        <f t="shared" si="2"/>
        <v>37</v>
      </c>
      <c r="N44" s="107"/>
      <c r="O44" s="108">
        <f t="shared" si="3"/>
        <v>0</v>
      </c>
      <c r="P44" s="109" t="str">
        <f t="shared" ref="P44" si="51">L44</f>
        <v>0000000F</v>
      </c>
      <c r="Q44" s="122" t="str">
        <f t="shared" si="31"/>
        <v>00000000</v>
      </c>
      <c r="R44" s="111"/>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23"/>
      <c r="AU44" s="104"/>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row>
    <row r="45" spans="1:82" s="47" customFormat="1" ht="33" thickTop="1" thickBot="1">
      <c r="A45" s="78" t="str">
        <f t="shared" si="32"/>
        <v>AND#</v>
      </c>
      <c r="B45" s="65" t="str">
        <f>"R["&amp;H45&amp;"] &lt;= R["&amp;I45&amp;"] &amp; "&amp;K45</f>
        <v>R[3] &lt;= R[1] &amp; 45</v>
      </c>
      <c r="C45" s="201" t="s">
        <v>355</v>
      </c>
      <c r="D45" s="93" t="str">
        <f t="shared" si="1"/>
        <v>B AND R3,R1,45</v>
      </c>
      <c r="E45" s="66"/>
      <c r="F45" s="157" t="s">
        <v>216</v>
      </c>
      <c r="G45" s="118" t="s">
        <v>17</v>
      </c>
      <c r="H45" s="68">
        <v>3</v>
      </c>
      <c r="I45" s="68">
        <v>1</v>
      </c>
      <c r="J45" s="68" t="s">
        <v>213</v>
      </c>
      <c r="K45" s="68">
        <v>45</v>
      </c>
      <c r="L45" s="148" t="str">
        <f>RIGHT(DEC2HEX(K45,10),8)</f>
        <v>0000002D</v>
      </c>
      <c r="M45" s="67">
        <f t="shared" si="2"/>
        <v>38</v>
      </c>
      <c r="N45" s="135"/>
      <c r="O45" s="120">
        <f t="shared" si="3"/>
        <v>0</v>
      </c>
      <c r="P45" s="121" t="str">
        <f t="shared" ref="P45" si="52">P44</f>
        <v>0000000F</v>
      </c>
      <c r="Q45" s="122" t="str">
        <f t="shared" si="31"/>
        <v>00000000</v>
      </c>
      <c r="R45" s="123" t="str">
        <f>DEC2HEX(BITWISE_AND(K44,K45))</f>
        <v>D</v>
      </c>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23"/>
      <c r="AU45" s="104"/>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row>
    <row r="46" spans="1:82" s="47" customFormat="1" ht="16.5" thickBot="1">
      <c r="A46" s="58" t="str">
        <f t="shared" si="32"/>
        <v>LDU#</v>
      </c>
      <c r="B46" s="59" t="str">
        <f>"R["&amp;H46&amp;"] &lt;= "&amp;K46</f>
        <v>R[1] &lt;= 9</v>
      </c>
      <c r="C46" s="83" t="s">
        <v>213</v>
      </c>
      <c r="D46" s="91" t="str">
        <f t="shared" si="1"/>
        <v>B LDU R1,R0,9</v>
      </c>
      <c r="E46" s="60"/>
      <c r="F46" s="61" t="s">
        <v>216</v>
      </c>
      <c r="G46" s="49" t="str">
        <f>IF(K46&gt;=0,"LDU","LD")</f>
        <v>LDU</v>
      </c>
      <c r="H46" s="62">
        <v>1</v>
      </c>
      <c r="I46" s="62">
        <v>0</v>
      </c>
      <c r="J46" s="62" t="s">
        <v>213</v>
      </c>
      <c r="K46" s="105">
        <v>9</v>
      </c>
      <c r="L46" s="146" t="str">
        <f>RIGHT(DEC2HEX(K46,10),8)</f>
        <v>00000009</v>
      </c>
      <c r="M46" s="61">
        <f t="shared" si="2"/>
        <v>39</v>
      </c>
      <c r="N46" s="107"/>
      <c r="O46" s="108">
        <f t="shared" si="3"/>
        <v>0</v>
      </c>
      <c r="P46" s="109" t="str">
        <f t="shared" ref="P46" si="53">L46</f>
        <v>00000009</v>
      </c>
      <c r="Q46" s="122" t="str">
        <f t="shared" si="31"/>
        <v>00000000</v>
      </c>
      <c r="R46" s="111"/>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23"/>
      <c r="AU46" s="104"/>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row>
    <row r="47" spans="1:82" s="47" customFormat="1" ht="33" thickTop="1" thickBot="1">
      <c r="A47" s="94" t="str">
        <f t="shared" si="32"/>
        <v>OR#</v>
      </c>
      <c r="B47" s="65" t="str">
        <f>"R["&amp;H47&amp;"] &lt;= R["&amp;I47&amp;"] | "&amp;K47</f>
        <v>R[3] &lt;= R[1] | 3</v>
      </c>
      <c r="C47" s="95" t="s">
        <v>356</v>
      </c>
      <c r="D47" s="93" t="str">
        <f t="shared" si="1"/>
        <v>B OR R3,R1,3</v>
      </c>
      <c r="E47" s="52"/>
      <c r="F47" s="158" t="s">
        <v>216</v>
      </c>
      <c r="G47" s="124" t="s">
        <v>20</v>
      </c>
      <c r="H47" s="54">
        <v>3</v>
      </c>
      <c r="I47" s="54">
        <v>1</v>
      </c>
      <c r="J47" s="54" t="s">
        <v>213</v>
      </c>
      <c r="K47" s="54">
        <v>3</v>
      </c>
      <c r="L47" s="149" t="str">
        <f>RIGHT(DEC2HEX(K47,10),8)</f>
        <v>00000003</v>
      </c>
      <c r="M47" s="53">
        <f t="shared" si="2"/>
        <v>40</v>
      </c>
      <c r="N47" s="119"/>
      <c r="O47" s="140">
        <f t="shared" si="3"/>
        <v>0</v>
      </c>
      <c r="P47" s="141" t="str">
        <f t="shared" ref="P47" si="54">P46</f>
        <v>00000009</v>
      </c>
      <c r="Q47" s="142" t="str">
        <f t="shared" si="31"/>
        <v>00000000</v>
      </c>
      <c r="R47" s="143" t="str">
        <f>DEC2HEX(BITWISE_OR(K46,K47))</f>
        <v>B</v>
      </c>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23"/>
      <c r="AU47" s="104"/>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row>
    <row r="48" spans="1:82" s="47" customFormat="1" ht="16.5" thickBot="1">
      <c r="A48" s="325" t="str">
        <f t="shared" si="32"/>
        <v>LDU#</v>
      </c>
      <c r="B48" s="326" t="str">
        <f>"R["&amp;H48&amp;"] &lt;= "&amp;K48</f>
        <v>R[1] &lt;= 2</v>
      </c>
      <c r="C48" s="327" t="s">
        <v>213</v>
      </c>
      <c r="D48" s="328" t="str">
        <f t="shared" si="1"/>
        <v>B LDU R1,R0,2</v>
      </c>
      <c r="E48" s="360"/>
      <c r="F48" s="300" t="s">
        <v>216</v>
      </c>
      <c r="G48" s="300" t="str">
        <f>IF(K48&gt;=0,"LDU","LD")</f>
        <v>LDU</v>
      </c>
      <c r="H48" s="301">
        <v>1</v>
      </c>
      <c r="I48" s="301">
        <v>0</v>
      </c>
      <c r="J48" s="301" t="s">
        <v>213</v>
      </c>
      <c r="K48" s="361">
        <v>2</v>
      </c>
      <c r="L48" s="362" t="str">
        <f>RIGHT(DEC2HEX(K48,10),8)</f>
        <v>00000002</v>
      </c>
      <c r="M48" s="300">
        <f t="shared" si="2"/>
        <v>41</v>
      </c>
      <c r="N48" s="382"/>
      <c r="O48" s="235">
        <f t="shared" si="3"/>
        <v>0</v>
      </c>
      <c r="P48" s="363" t="str">
        <f t="shared" ref="P48" si="55">L48</f>
        <v>00000002</v>
      </c>
      <c r="Q48" s="301" t="str">
        <f t="shared" si="31"/>
        <v>00000000</v>
      </c>
      <c r="R48" s="302"/>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23"/>
      <c r="AU48" s="104"/>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row>
    <row r="49" spans="1:82" s="47" customFormat="1" ht="32.25" thickBot="1">
      <c r="A49" s="307" t="str">
        <f t="shared" si="32"/>
        <v>XOR#</v>
      </c>
      <c r="B49" s="308" t="str">
        <f>"R["&amp;H49&amp;"] &lt;= XOR(R["&amp;I49&amp;"] , "&amp;K49&amp;")"</f>
        <v>R[3] &lt;= XOR(R[1] , 12)</v>
      </c>
      <c r="C49" s="309" t="s">
        <v>357</v>
      </c>
      <c r="D49" s="310" t="str">
        <f t="shared" si="1"/>
        <v>B XOR R3,R1,12</v>
      </c>
      <c r="E49" s="311"/>
      <c r="F49" s="312" t="s">
        <v>216</v>
      </c>
      <c r="G49" s="313" t="s">
        <v>26</v>
      </c>
      <c r="H49" s="314">
        <v>3</v>
      </c>
      <c r="I49" s="314">
        <v>1</v>
      </c>
      <c r="J49" s="314" t="s">
        <v>213</v>
      </c>
      <c r="K49" s="314">
        <v>12</v>
      </c>
      <c r="L49" s="314" t="str">
        <f>RIGHT(DEC2HEX(K49,10),8)</f>
        <v>0000000C</v>
      </c>
      <c r="M49" s="315">
        <f t="shared" si="2"/>
        <v>42</v>
      </c>
      <c r="N49" s="383"/>
      <c r="O49" s="388">
        <f t="shared" si="3"/>
        <v>0</v>
      </c>
      <c r="P49" s="316" t="str">
        <f t="shared" ref="P49" si="56">P48</f>
        <v>00000002</v>
      </c>
      <c r="Q49" s="314" t="str">
        <f t="shared" si="31"/>
        <v>00000000</v>
      </c>
      <c r="R49" s="317" t="str">
        <f>DEC2HEX(BITWISE_XOR(K48,K49))</f>
        <v>E</v>
      </c>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23"/>
      <c r="AU49" s="104"/>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row>
    <row r="50" spans="1:82" s="47" customFormat="1" ht="32.25" thickBot="1">
      <c r="A50" s="329" t="str">
        <f t="shared" si="32"/>
        <v>STA</v>
      </c>
      <c r="B50" s="330" t="str">
        <f>"MEM["&amp;K50&amp;"] &lt;= R["&amp;H50&amp;"]"</f>
        <v>MEM[120] &lt;= R[3]</v>
      </c>
      <c r="C50" s="331" t="s">
        <v>371</v>
      </c>
      <c r="D50" s="365" t="str">
        <f t="shared" si="1"/>
        <v>B STA R3,R0,120</v>
      </c>
      <c r="E50" s="364"/>
      <c r="F50" s="332" t="s">
        <v>216</v>
      </c>
      <c r="G50" s="333" t="s">
        <v>141</v>
      </c>
      <c r="H50" s="241">
        <v>3</v>
      </c>
      <c r="I50" s="241">
        <v>0</v>
      </c>
      <c r="J50" s="241" t="s">
        <v>213</v>
      </c>
      <c r="K50" s="334">
        <v>120</v>
      </c>
      <c r="L50" s="335" t="str">
        <f t="shared" ref="L50:L54" si="57">RIGHT(DEC2HEX(K50,10),8)</f>
        <v>00000078</v>
      </c>
      <c r="M50" s="127">
        <f t="shared" si="2"/>
        <v>43</v>
      </c>
      <c r="N50" s="384"/>
      <c r="O50" s="114">
        <f t="shared" si="3"/>
        <v>0</v>
      </c>
      <c r="P50" s="169" t="str">
        <f>P49</f>
        <v>00000002</v>
      </c>
      <c r="Q50" s="241" t="str">
        <f t="shared" si="31"/>
        <v>00000000</v>
      </c>
      <c r="R50" s="117" t="str">
        <f>R49</f>
        <v>E</v>
      </c>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23"/>
      <c r="AU50" s="104"/>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row>
    <row r="51" spans="1:82" s="47" customFormat="1" ht="32.25" thickBot="1">
      <c r="A51" s="212" t="str">
        <f t="shared" si="32"/>
        <v>LDA</v>
      </c>
      <c r="B51" s="89" t="str">
        <f>"R["&amp;H51&amp;"] &lt;= MEM["&amp;K51&amp;"] "</f>
        <v xml:space="preserve">R[1] &lt;= MEM[120] </v>
      </c>
      <c r="C51" s="238" t="s">
        <v>372</v>
      </c>
      <c r="D51" s="92" t="str">
        <f t="shared" si="1"/>
        <v>B LDA R1,R0,120</v>
      </c>
      <c r="E51" s="51"/>
      <c r="F51" s="216" t="s">
        <v>216</v>
      </c>
      <c r="G51" s="242" t="s">
        <v>136</v>
      </c>
      <c r="H51" s="50">
        <v>1</v>
      </c>
      <c r="I51" s="50">
        <v>0</v>
      </c>
      <c r="J51" s="50" t="s">
        <v>213</v>
      </c>
      <c r="K51" s="243">
        <v>120</v>
      </c>
      <c r="L51" s="244" t="str">
        <f t="shared" si="57"/>
        <v>00000078</v>
      </c>
      <c r="M51" s="49">
        <f t="shared" si="2"/>
        <v>44</v>
      </c>
      <c r="N51" s="87"/>
      <c r="O51" s="114">
        <f t="shared" si="3"/>
        <v>0</v>
      </c>
      <c r="P51" s="169" t="str">
        <f t="shared" ref="P51:P52" si="58">P50</f>
        <v>00000002</v>
      </c>
      <c r="Q51" s="245" t="str">
        <f>R51</f>
        <v>E</v>
      </c>
      <c r="R51" s="117" t="str">
        <f t="shared" ref="R51:R54" si="59">R50</f>
        <v>E</v>
      </c>
      <c r="S51" s="225"/>
      <c r="T51" s="225"/>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23"/>
      <c r="AU51" s="104"/>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row>
    <row r="52" spans="1:82" s="47" customFormat="1" ht="32.25" thickBot="1">
      <c r="A52" s="226" t="str">
        <f t="shared" si="32"/>
        <v>STIX</v>
      </c>
      <c r="B52" s="222" t="str">
        <f>"EA &lt;= (R["&amp;I52&amp;"] + "&amp;K52&amp;")"&amp;CHAR(10)&amp;"MEM["&amp;H52&amp;"] &lt;= R[EA]"</f>
        <v>EA &lt;= (R[1] + 118)
MEM[3] &lt;= R[EA]</v>
      </c>
      <c r="C52" s="237" t="s">
        <v>373</v>
      </c>
      <c r="D52" s="92" t="str">
        <f t="shared" si="1"/>
        <v>B STIX R3,R1,118</v>
      </c>
      <c r="E52" s="51"/>
      <c r="F52" s="216" t="s">
        <v>216</v>
      </c>
      <c r="G52" s="242" t="s">
        <v>151</v>
      </c>
      <c r="H52" s="50">
        <v>3</v>
      </c>
      <c r="I52" s="50">
        <v>1</v>
      </c>
      <c r="J52" s="50" t="s">
        <v>213</v>
      </c>
      <c r="K52" s="243">
        <v>118</v>
      </c>
      <c r="L52" s="244" t="str">
        <f t="shared" si="57"/>
        <v>00000076</v>
      </c>
      <c r="M52" s="49">
        <f t="shared" si="2"/>
        <v>45</v>
      </c>
      <c r="N52" s="87"/>
      <c r="O52" s="114">
        <f t="shared" si="3"/>
        <v>0</v>
      </c>
      <c r="P52" s="169" t="str">
        <f t="shared" si="58"/>
        <v>00000002</v>
      </c>
      <c r="Q52" s="241" t="str">
        <f t="shared" si="31"/>
        <v>E</v>
      </c>
      <c r="R52" s="117" t="str">
        <f t="shared" si="59"/>
        <v>E</v>
      </c>
      <c r="S52" s="225"/>
      <c r="T52" s="225"/>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23"/>
      <c r="AU52" s="104"/>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row>
    <row r="53" spans="1:82" s="47" customFormat="1" ht="16.5" thickBot="1">
      <c r="A53" s="88" t="str">
        <f t="shared" si="32"/>
        <v>LDU#</v>
      </c>
      <c r="B53" s="89" t="str">
        <f>"R["&amp;H53&amp;"] &lt;= "&amp;K53</f>
        <v>R[1] &lt;= 1</v>
      </c>
      <c r="C53" s="238" t="s">
        <v>213</v>
      </c>
      <c r="D53" s="92" t="str">
        <f t="shared" si="1"/>
        <v>B LDU R1,R0,1</v>
      </c>
      <c r="E53" s="51"/>
      <c r="F53" s="49" t="s">
        <v>216</v>
      </c>
      <c r="G53" s="49" t="str">
        <f>IF(K53&gt;=0,"LDU","LD")</f>
        <v>LDU</v>
      </c>
      <c r="H53" s="50">
        <v>1</v>
      </c>
      <c r="I53" s="50">
        <v>0</v>
      </c>
      <c r="J53" s="50" t="s">
        <v>213</v>
      </c>
      <c r="K53" s="50">
        <v>1</v>
      </c>
      <c r="L53" s="112" t="str">
        <f>RIGHT(DEC2HEX(K53,10),8)</f>
        <v>00000001</v>
      </c>
      <c r="M53" s="49">
        <f t="shared" ref="M53" si="60">M52+1</f>
        <v>46</v>
      </c>
      <c r="N53" s="87"/>
      <c r="O53" s="114">
        <f t="shared" si="3"/>
        <v>0</v>
      </c>
      <c r="P53" s="240" t="str">
        <f>L53</f>
        <v>00000001</v>
      </c>
      <c r="Q53" s="241" t="str">
        <f t="shared" si="31"/>
        <v>E</v>
      </c>
      <c r="R53" s="117" t="str">
        <f t="shared" si="59"/>
        <v>E</v>
      </c>
      <c r="S53" s="239"/>
      <c r="T53" s="225"/>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23"/>
      <c r="AU53" s="104"/>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row>
    <row r="54" spans="1:82" s="47" customFormat="1" ht="32.25" thickBot="1">
      <c r="A54" s="64" t="str">
        <f t="shared" ref="A54:A60" si="61">IF(AND(F54="B",IF(OR(G54="LD",G54="LDU",G54="ADD",G54="SUB",G54="AND",G54="OR",G54="XOR"),1,0)),CONCATENATE(G54,"#"),G54)</f>
        <v>LDIX</v>
      </c>
      <c r="B54" s="159" t="str">
        <f>"EA &lt;= (R["&amp;I54&amp;"] + "&amp;K54&amp;")"&amp;CHAR(10)&amp;"R["&amp;H54&amp;"] &lt;= MEM[EA]"</f>
        <v>EA &lt;= (R[1] + 119)
R[1] &lt;= MEM[EA]</v>
      </c>
      <c r="C54" s="259" t="s">
        <v>374</v>
      </c>
      <c r="D54" s="92" t="str">
        <f t="shared" si="1"/>
        <v>B LDIX R1,R1,119</v>
      </c>
      <c r="E54" s="51"/>
      <c r="F54" s="216" t="s">
        <v>216</v>
      </c>
      <c r="G54" s="242" t="s">
        <v>146</v>
      </c>
      <c r="H54" s="50">
        <v>1</v>
      </c>
      <c r="I54" s="50">
        <v>1</v>
      </c>
      <c r="J54" s="50" t="s">
        <v>213</v>
      </c>
      <c r="K54" s="243">
        <v>119</v>
      </c>
      <c r="L54" s="244" t="str">
        <f t="shared" si="57"/>
        <v>00000077</v>
      </c>
      <c r="M54" s="49">
        <f t="shared" ref="M54:M80" si="62">M53+1</f>
        <v>47</v>
      </c>
      <c r="N54" s="87"/>
      <c r="O54" s="114">
        <f t="shared" si="3"/>
        <v>0</v>
      </c>
      <c r="P54" s="245" t="str">
        <f>R52</f>
        <v>E</v>
      </c>
      <c r="Q54" s="241" t="str">
        <f t="shared" si="31"/>
        <v>E</v>
      </c>
      <c r="R54" s="117" t="str">
        <f t="shared" si="59"/>
        <v>E</v>
      </c>
      <c r="S54" s="239"/>
      <c r="T54" s="225"/>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23"/>
      <c r="AU54" s="104"/>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row>
    <row r="55" spans="1:82" s="47" customFormat="1" ht="16.5" thickBot="1">
      <c r="A55" s="88" t="str">
        <f t="shared" si="61"/>
        <v>LDU#</v>
      </c>
      <c r="B55" s="89" t="str">
        <f>"R["&amp;H55&amp;"] &lt;= "&amp;K55</f>
        <v>R[1] &lt;= 50</v>
      </c>
      <c r="C55" s="238" t="s">
        <v>213</v>
      </c>
      <c r="D55" s="92" t="str">
        <f t="shared" si="1"/>
        <v>B LDU R1,R0,50</v>
      </c>
      <c r="E55" s="51"/>
      <c r="F55" s="49" t="s">
        <v>216</v>
      </c>
      <c r="G55" s="49" t="str">
        <f>IF(K55&gt;=0,"LDU","LD")</f>
        <v>LDU</v>
      </c>
      <c r="H55" s="50">
        <v>1</v>
      </c>
      <c r="I55" s="50">
        <v>0</v>
      </c>
      <c r="J55" s="50" t="s">
        <v>213</v>
      </c>
      <c r="K55" s="50">
        <v>50</v>
      </c>
      <c r="L55" s="112" t="str">
        <f>RIGHT(DEC2HEX(K55,10),8)</f>
        <v>00000032</v>
      </c>
      <c r="M55" s="49">
        <f t="shared" si="62"/>
        <v>48</v>
      </c>
      <c r="N55" s="87"/>
      <c r="O55" s="114">
        <f t="shared" si="3"/>
        <v>0</v>
      </c>
      <c r="P55" s="240" t="str">
        <f>L55</f>
        <v>00000032</v>
      </c>
      <c r="Q55" s="241" t="str">
        <f t="shared" ref="Q55:Q60" si="63">Q54</f>
        <v>E</v>
      </c>
      <c r="R55" s="117" t="str">
        <f t="shared" ref="R55" si="64">R54</f>
        <v>E</v>
      </c>
      <c r="S55" s="225"/>
      <c r="T55" s="225"/>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23"/>
      <c r="AU55" s="104"/>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row>
    <row r="56" spans="1:82" s="47" customFormat="1" ht="32.25" thickBot="1">
      <c r="A56" s="212" t="str">
        <f t="shared" si="61"/>
        <v>MOVE</v>
      </c>
      <c r="B56" s="89" t="str">
        <f>"R["&amp;H56&amp;"] &lt;= R["&amp;I56&amp;"]"</f>
        <v>R[3] &lt;= R[1]</v>
      </c>
      <c r="C56" s="238" t="s">
        <v>375</v>
      </c>
      <c r="D56" s="92" t="str">
        <f t="shared" si="1"/>
        <v>A MOVE R3,R1,R2</v>
      </c>
      <c r="E56" s="51"/>
      <c r="F56" s="242" t="s">
        <v>212</v>
      </c>
      <c r="G56" s="242" t="s">
        <v>56</v>
      </c>
      <c r="H56" s="50">
        <v>3</v>
      </c>
      <c r="I56" s="50">
        <v>1</v>
      </c>
      <c r="J56" s="50">
        <v>2</v>
      </c>
      <c r="K56" s="50" t="s">
        <v>213</v>
      </c>
      <c r="L56" s="303" t="s">
        <v>213</v>
      </c>
      <c r="M56" s="49">
        <f t="shared" si="62"/>
        <v>49</v>
      </c>
      <c r="N56" s="87"/>
      <c r="O56" s="114">
        <f t="shared" si="3"/>
        <v>0</v>
      </c>
      <c r="P56" s="169" t="str">
        <f>P55</f>
        <v>00000032</v>
      </c>
      <c r="Q56" s="241" t="str">
        <f t="shared" si="63"/>
        <v>E</v>
      </c>
      <c r="R56" s="318" t="str">
        <f>P56</f>
        <v>00000032</v>
      </c>
      <c r="S56" s="225"/>
      <c r="T56" s="225"/>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23"/>
      <c r="AU56" s="104"/>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row>
    <row r="57" spans="1:82" s="47" customFormat="1" ht="16.5" thickBot="1">
      <c r="A57" s="88" t="str">
        <f t="shared" si="61"/>
        <v>LDU#</v>
      </c>
      <c r="B57" s="89" t="str">
        <f>"R["&amp;H57&amp;"] &lt;= "&amp;K57</f>
        <v>R[1] &lt;= 106</v>
      </c>
      <c r="C57" s="238" t="s">
        <v>213</v>
      </c>
      <c r="D57" s="92" t="str">
        <f t="shared" si="1"/>
        <v>B LDU R1,R0,106</v>
      </c>
      <c r="E57" s="51"/>
      <c r="F57" s="49" t="s">
        <v>216</v>
      </c>
      <c r="G57" s="49" t="str">
        <f>IF(K57&gt;=0,"LDU","LD")</f>
        <v>LDU</v>
      </c>
      <c r="H57" s="50">
        <v>1</v>
      </c>
      <c r="I57" s="50">
        <v>0</v>
      </c>
      <c r="J57" s="50" t="s">
        <v>213</v>
      </c>
      <c r="K57" s="50">
        <v>106</v>
      </c>
      <c r="L57" s="112" t="str">
        <f>RIGHT(DEC2HEX(K57,10),8)</f>
        <v>0000006A</v>
      </c>
      <c r="M57" s="49">
        <f t="shared" si="62"/>
        <v>50</v>
      </c>
      <c r="N57" s="87"/>
      <c r="O57" s="114">
        <f t="shared" si="3"/>
        <v>0</v>
      </c>
      <c r="P57" s="240" t="str">
        <f>L57</f>
        <v>0000006A</v>
      </c>
      <c r="Q57" s="241" t="str">
        <f t="shared" si="63"/>
        <v>E</v>
      </c>
      <c r="R57" s="117" t="str">
        <f t="shared" ref="R57:R60" si="65">R56</f>
        <v>00000032</v>
      </c>
      <c r="S57" s="225"/>
      <c r="T57" s="225"/>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23"/>
      <c r="AU57" s="104"/>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row>
    <row r="58" spans="1:82" s="47" customFormat="1" ht="32.25" thickBot="1">
      <c r="A58" s="212" t="str">
        <f t="shared" si="61"/>
        <v>LBI</v>
      </c>
      <c r="B58" s="159" t="str">
        <f>"EA &lt;= (R["&amp;I58&amp;"] + R["&amp;J58&amp;"])="&amp;HEX2DEC(Q58)+HEX2DEC(P58)&amp;CHAR(10)&amp;"R["&amp;H58&amp;"] &lt;= MEM[EA]"</f>
        <v>EA &lt;= (R[1] + R[2])=120
R[3] &lt;= MEM[EA]</v>
      </c>
      <c r="C58" s="238" t="s">
        <v>412</v>
      </c>
      <c r="D58" s="92" t="str">
        <f t="shared" si="1"/>
        <v>A LBI R3,R1,R2</v>
      </c>
      <c r="E58" s="51"/>
      <c r="F58" s="242" t="s">
        <v>212</v>
      </c>
      <c r="G58" s="242" t="s">
        <v>60</v>
      </c>
      <c r="H58" s="50">
        <v>3</v>
      </c>
      <c r="I58" s="50">
        <v>1</v>
      </c>
      <c r="J58" s="50">
        <v>2</v>
      </c>
      <c r="K58" s="50" t="s">
        <v>213</v>
      </c>
      <c r="L58" s="303" t="s">
        <v>213</v>
      </c>
      <c r="M58" s="49">
        <f t="shared" si="62"/>
        <v>51</v>
      </c>
      <c r="N58" s="87"/>
      <c r="O58" s="114">
        <f t="shared" si="3"/>
        <v>0</v>
      </c>
      <c r="P58" s="169" t="str">
        <f t="shared" ref="P58" si="66">P57</f>
        <v>0000006A</v>
      </c>
      <c r="Q58" s="241" t="str">
        <f t="shared" si="63"/>
        <v>E</v>
      </c>
      <c r="R58" s="318" t="str">
        <f>P54</f>
        <v>E</v>
      </c>
      <c r="S58" s="225"/>
      <c r="T58" s="27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23"/>
      <c r="AU58" s="104"/>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row>
    <row r="59" spans="1:82" s="47" customFormat="1" ht="16.5" thickBot="1">
      <c r="A59" s="88" t="str">
        <f t="shared" si="61"/>
        <v>LDU#</v>
      </c>
      <c r="B59" s="89" t="str">
        <f>"R["&amp;H59&amp;"] &lt;= "&amp;K59</f>
        <v>R[2] &lt;= 120</v>
      </c>
      <c r="C59" s="238" t="s">
        <v>213</v>
      </c>
      <c r="D59" s="92" t="str">
        <f t="shared" si="1"/>
        <v>B LDU R2,R0,120</v>
      </c>
      <c r="E59" s="51"/>
      <c r="F59" s="49" t="s">
        <v>216</v>
      </c>
      <c r="G59" s="49" t="str">
        <f>IF(K59&gt;=0,"LDU","LD")</f>
        <v>LDU</v>
      </c>
      <c r="H59" s="50">
        <v>2</v>
      </c>
      <c r="I59" s="50">
        <v>0</v>
      </c>
      <c r="J59" s="50" t="s">
        <v>213</v>
      </c>
      <c r="K59" s="50">
        <v>120</v>
      </c>
      <c r="L59" s="112" t="str">
        <f>RIGHT(DEC2HEX(K59,10),8)</f>
        <v>00000078</v>
      </c>
      <c r="M59" s="49">
        <f t="shared" si="62"/>
        <v>52</v>
      </c>
      <c r="N59" s="87"/>
      <c r="O59" s="114">
        <f t="shared" si="3"/>
        <v>0</v>
      </c>
      <c r="P59" s="169" t="str">
        <f>P58</f>
        <v>0000006A</v>
      </c>
      <c r="Q59" s="241" t="str">
        <f>L59</f>
        <v>00000078</v>
      </c>
      <c r="R59" s="117" t="str">
        <f t="shared" si="65"/>
        <v>E</v>
      </c>
      <c r="S59" s="225"/>
      <c r="T59" s="225"/>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23"/>
      <c r="AU59" s="104"/>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row>
    <row r="60" spans="1:82" s="47" customFormat="1" ht="32.25" thickBot="1">
      <c r="A60" s="212" t="str">
        <f t="shared" si="61"/>
        <v>LDRi</v>
      </c>
      <c r="B60" s="159" t="str">
        <f>"EA &lt;= (R["&amp;J60&amp;"])"&amp;CHAR(10)&amp;"R["&amp;H60&amp;"] &lt;= MEM[EA]"</f>
        <v>EA &lt;= (R[2])
R[1] &lt;= MEM[EA]</v>
      </c>
      <c r="C60" s="238" t="s">
        <v>413</v>
      </c>
      <c r="D60" s="93" t="str">
        <f t="shared" si="1"/>
        <v>A LDRi R1,R1,R2</v>
      </c>
      <c r="E60" s="66"/>
      <c r="F60" s="118" t="s">
        <v>212</v>
      </c>
      <c r="G60" s="118" t="s">
        <v>64</v>
      </c>
      <c r="H60" s="68">
        <v>1</v>
      </c>
      <c r="I60" s="68">
        <v>1</v>
      </c>
      <c r="J60" s="68">
        <v>2</v>
      </c>
      <c r="K60" s="68" t="s">
        <v>213</v>
      </c>
      <c r="L60" s="252" t="s">
        <v>213</v>
      </c>
      <c r="M60" s="67">
        <f t="shared" si="62"/>
        <v>53</v>
      </c>
      <c r="N60" s="134"/>
      <c r="O60" s="120">
        <f t="shared" si="3"/>
        <v>0</v>
      </c>
      <c r="P60" s="224" t="str">
        <f>R58</f>
        <v>E</v>
      </c>
      <c r="Q60" s="122" t="str">
        <f t="shared" si="63"/>
        <v>00000078</v>
      </c>
      <c r="R60" s="248" t="str">
        <f t="shared" si="65"/>
        <v>E</v>
      </c>
      <c r="S60" s="103"/>
      <c r="T60" s="27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23"/>
      <c r="AU60" s="104"/>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row>
    <row r="61" spans="1:82" s="47" customFormat="1" ht="16.5" thickBot="1">
      <c r="A61" s="213"/>
      <c r="B61" s="217"/>
      <c r="C61" s="299"/>
      <c r="D61" s="320"/>
      <c r="E61" s="323"/>
      <c r="F61" s="191"/>
      <c r="G61" s="191"/>
      <c r="H61" s="219"/>
      <c r="I61" s="219"/>
      <c r="J61" s="219"/>
      <c r="K61" s="219"/>
      <c r="L61" s="271"/>
      <c r="M61" s="191">
        <f t="shared" si="62"/>
        <v>54</v>
      </c>
      <c r="N61" s="355"/>
      <c r="O61" s="220">
        <f t="shared" si="3"/>
        <v>0</v>
      </c>
      <c r="P61" s="195"/>
      <c r="Q61" s="195"/>
      <c r="R61" s="221"/>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23"/>
      <c r="AU61" s="104"/>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row>
    <row r="62" spans="1:82" s="47" customFormat="1" ht="17.25" thickTop="1" thickBot="1">
      <c r="A62" s="154"/>
      <c r="B62" s="171"/>
      <c r="C62" s="263"/>
      <c r="D62" s="321"/>
      <c r="E62" s="324"/>
      <c r="F62" s="178"/>
      <c r="G62" s="178"/>
      <c r="H62" s="179"/>
      <c r="I62" s="179"/>
      <c r="J62" s="179"/>
      <c r="K62" s="304"/>
      <c r="L62" s="303"/>
      <c r="M62" s="178">
        <f t="shared" si="62"/>
        <v>55</v>
      </c>
      <c r="N62" s="190"/>
      <c r="O62" s="180">
        <f t="shared" si="3"/>
        <v>0</v>
      </c>
      <c r="P62" s="169"/>
      <c r="Q62" s="169"/>
      <c r="R62" s="181"/>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23"/>
      <c r="AU62" s="104"/>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row>
    <row r="63" spans="1:82" s="47" customFormat="1" ht="17.25" thickTop="1" thickBot="1">
      <c r="A63" s="88" t="str">
        <f t="shared" ref="A63" si="67">IF(AND(F63="B",IF(OR(G63="LD",G63="LDU",G63="ADD",G63="SUB",G63="AND",G63="OR",G63="XOR"),1,0)),CONCATENATE(G63,"#"),G63)</f>
        <v>LDU#</v>
      </c>
      <c r="B63" s="89" t="str">
        <f>"R["&amp;H63&amp;"] &lt;= "&amp;K63</f>
        <v>R[1] &lt;= 32</v>
      </c>
      <c r="C63" s="238" t="s">
        <v>213</v>
      </c>
      <c r="D63" s="319" t="str">
        <f t="shared" ref="D63" si="68">IF(F63="A",CONCATENATE(F63," ",G63," R",H63,",R",I63,",R",J63),IF(F63="B",CONCATENATE(F63," ",G63," R",H63,",R",I63,",",K63),CONCATENATE(F63," ",G63," ",K63)))</f>
        <v>B LDU R1,R0,32</v>
      </c>
      <c r="E63" s="322"/>
      <c r="F63" s="49" t="s">
        <v>216</v>
      </c>
      <c r="G63" s="49" t="str">
        <f>IF(K63&gt;=0,"LDU","LD")</f>
        <v>LDU</v>
      </c>
      <c r="H63" s="50">
        <v>1</v>
      </c>
      <c r="I63" s="50">
        <v>0</v>
      </c>
      <c r="J63" s="50" t="s">
        <v>213</v>
      </c>
      <c r="K63" s="50">
        <v>32</v>
      </c>
      <c r="L63" s="112" t="str">
        <f>RIGHT(DEC2HEX(K63,10),8)</f>
        <v>00000020</v>
      </c>
      <c r="M63" s="49">
        <f t="shared" ref="M63" si="69">M62+1</f>
        <v>56</v>
      </c>
      <c r="N63" s="87"/>
      <c r="O63" s="114">
        <f t="shared" si="3"/>
        <v>0</v>
      </c>
      <c r="P63" s="169" t="str">
        <f>L63</f>
        <v>00000020</v>
      </c>
      <c r="Q63" s="169" t="str">
        <f>L63</f>
        <v>00000020</v>
      </c>
      <c r="R63" s="181">
        <f t="shared" ref="R63" si="70">R62</f>
        <v>0</v>
      </c>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23"/>
      <c r="AU63" s="104"/>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row>
    <row r="64" spans="1:82" s="47" customFormat="1" ht="32.25" thickBot="1">
      <c r="A64" s="64" t="str">
        <f t="shared" ref="A64" si="71">IF(AND(F64="B",IF(OR(G64="LD",G64="LDU",G64="ADD",G64="SUB",G64="AND",G64="OR",G64="XOR"),1,0)),CONCATENATE(G64,"#"),G64)</f>
        <v>JMP</v>
      </c>
      <c r="B64" s="159" t="str">
        <f>"PC &lt;= R["&amp;I64&amp;"] "</f>
        <v xml:space="preserve">PC &lt;= R[1] </v>
      </c>
      <c r="C64" s="259" t="s">
        <v>374</v>
      </c>
      <c r="D64" s="366" t="str">
        <f t="shared" si="1"/>
        <v>A JMP R1,R1,R0</v>
      </c>
      <c r="E64" s="358"/>
      <c r="F64" s="124" t="s">
        <v>212</v>
      </c>
      <c r="G64" s="124" t="s">
        <v>85</v>
      </c>
      <c r="H64" s="54">
        <v>1</v>
      </c>
      <c r="I64" s="54">
        <v>1</v>
      </c>
      <c r="J64" s="54">
        <v>0</v>
      </c>
      <c r="K64" s="100" t="s">
        <v>213</v>
      </c>
      <c r="L64" s="350" t="s">
        <v>213</v>
      </c>
      <c r="M64" s="367" t="str">
        <f>"MEM["&amp;I64&amp;"]"</f>
        <v>MEM[1]</v>
      </c>
      <c r="N64" s="101"/>
      <c r="O64" s="140">
        <f t="shared" si="3"/>
        <v>0</v>
      </c>
      <c r="P64" s="170" t="str">
        <f>P63</f>
        <v>00000020</v>
      </c>
      <c r="Q64" s="170" t="str">
        <f t="shared" ref="Q64" si="72">Q63</f>
        <v>00000020</v>
      </c>
      <c r="R64" s="351">
        <f t="shared" ref="R64" si="73">R63</f>
        <v>0</v>
      </c>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23"/>
      <c r="AU64" s="104"/>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row>
    <row r="65" spans="1:82" s="47" customFormat="1" ht="16.5" thickBot="1">
      <c r="A65" s="213"/>
      <c r="B65" s="185"/>
      <c r="C65" s="299"/>
      <c r="D65" s="187"/>
      <c r="E65" s="172"/>
      <c r="F65" s="155"/>
      <c r="G65" s="155"/>
      <c r="H65" s="173"/>
      <c r="I65" s="173"/>
      <c r="J65" s="173"/>
      <c r="K65" s="173"/>
      <c r="L65" s="305"/>
      <c r="M65" s="155" t="e">
        <f t="shared" si="62"/>
        <v>#VALUE!</v>
      </c>
      <c r="N65" s="370"/>
      <c r="O65" s="174">
        <f t="shared" si="3"/>
        <v>0</v>
      </c>
      <c r="P65" s="168"/>
      <c r="Q65" s="168"/>
      <c r="R65" s="175"/>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23"/>
      <c r="AU65" s="104"/>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row>
    <row r="66" spans="1:82" s="47" customFormat="1" ht="17.25" thickTop="1" thickBot="1">
      <c r="A66" s="189"/>
      <c r="B66" s="177"/>
      <c r="C66" s="263"/>
      <c r="D66" s="188"/>
      <c r="E66" s="182"/>
      <c r="F66" s="183"/>
      <c r="G66" s="183"/>
      <c r="H66" s="183"/>
      <c r="I66" s="183"/>
      <c r="J66" s="156"/>
      <c r="K66" s="156"/>
      <c r="L66" s="156"/>
      <c r="M66" s="156" t="e">
        <f t="shared" si="62"/>
        <v>#VALUE!</v>
      </c>
      <c r="N66" s="371"/>
      <c r="O66" s="184">
        <f t="shared" si="3"/>
        <v>0</v>
      </c>
      <c r="P66" s="272"/>
      <c r="Q66" s="272"/>
      <c r="R66" s="359"/>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23"/>
      <c r="AU66" s="104"/>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row>
    <row r="67" spans="1:82" s="47" customFormat="1" ht="17.25" thickTop="1" thickBot="1">
      <c r="A67" s="88" t="str">
        <f t="shared" ref="A67:A68" si="74">IF(AND(F67="B",IF(OR(G67="LD",G67="LDU",G67="ADD",G67="SUB",G67="AND",G67="OR",G67="XOR"),1,0)),CONCATENATE(G67,"#"),G67)</f>
        <v>LDU#</v>
      </c>
      <c r="B67" s="89" t="str">
        <f>"R["&amp;H67&amp;"] &lt;= "&amp;K67</f>
        <v>R[1] &lt;= 32</v>
      </c>
      <c r="C67" s="238" t="s">
        <v>213</v>
      </c>
      <c r="D67" s="199" t="str">
        <f t="shared" ref="D67:D68" si="75">IF(F67="A",CONCATENATE(F67," ",G67," R",H67,",R",I67,",R",J67),IF(F67="B",CONCATENATE(F67," ",G67," R",H67,",R",I67,",",K67),CONCATENATE(F67," ",G67," ",K67)))</f>
        <v>B LDU R1,R0,32</v>
      </c>
      <c r="E67" s="55"/>
      <c r="F67" s="56" t="s">
        <v>216</v>
      </c>
      <c r="G67" s="56" t="str">
        <f>IF(K67&gt;=0,"LDU","LD")</f>
        <v>LDU</v>
      </c>
      <c r="H67" s="57">
        <v>1</v>
      </c>
      <c r="I67" s="57">
        <v>0</v>
      </c>
      <c r="J67" s="57" t="s">
        <v>213</v>
      </c>
      <c r="K67" s="57">
        <v>32</v>
      </c>
      <c r="L67" s="246" t="str">
        <f>RIGHT(DEC2HEX(K67,10),8)</f>
        <v>00000020</v>
      </c>
      <c r="M67" s="56" t="e">
        <f t="shared" si="62"/>
        <v>#VALUE!</v>
      </c>
      <c r="N67" s="144"/>
      <c r="O67" s="145">
        <f t="shared" si="3"/>
        <v>0</v>
      </c>
      <c r="P67" s="195" t="str">
        <f>L67</f>
        <v>00000020</v>
      </c>
      <c r="Q67" s="195" t="str">
        <f>L67</f>
        <v>00000020</v>
      </c>
      <c r="R67" s="221">
        <f t="shared" ref="R67:R68" si="76">R66</f>
        <v>0</v>
      </c>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23"/>
      <c r="AU67" s="104"/>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row>
    <row r="68" spans="1:82" s="47" customFormat="1" ht="32.25" thickBot="1">
      <c r="A68" s="64" t="str">
        <f t="shared" si="74"/>
        <v>JMP</v>
      </c>
      <c r="B68" s="159" t="str">
        <f>"PC &lt;= R["&amp;I68&amp;"] "</f>
        <v xml:space="preserve">PC &lt;= R[1] </v>
      </c>
      <c r="C68" s="259" t="s">
        <v>422</v>
      </c>
      <c r="D68" s="139" t="str">
        <f t="shared" si="75"/>
        <v>A JMP R1,R1,R0</v>
      </c>
      <c r="E68" s="52"/>
      <c r="F68" s="124" t="s">
        <v>212</v>
      </c>
      <c r="G68" s="124" t="s">
        <v>85</v>
      </c>
      <c r="H68" s="54">
        <v>1</v>
      </c>
      <c r="I68" s="54">
        <v>1</v>
      </c>
      <c r="J68" s="54">
        <v>0</v>
      </c>
      <c r="K68" s="100" t="s">
        <v>213</v>
      </c>
      <c r="L68" s="350" t="s">
        <v>213</v>
      </c>
      <c r="M68" s="367" t="str">
        <f>"MEM["&amp;I68&amp;"]"</f>
        <v>MEM[1]</v>
      </c>
      <c r="N68" s="101"/>
      <c r="O68" s="140">
        <f t="shared" si="3"/>
        <v>0</v>
      </c>
      <c r="P68" s="170" t="str">
        <f>P67</f>
        <v>00000020</v>
      </c>
      <c r="Q68" s="170" t="str">
        <f t="shared" ref="Q68" si="77">Q67</f>
        <v>00000020</v>
      </c>
      <c r="R68" s="351">
        <f t="shared" si="76"/>
        <v>0</v>
      </c>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23"/>
      <c r="AU68" s="104"/>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row>
    <row r="69" spans="1:82" s="47" customFormat="1" ht="17.25" thickTop="1" thickBot="1">
      <c r="A69" s="189"/>
      <c r="B69" s="177"/>
      <c r="C69" s="356"/>
      <c r="D69" s="187"/>
      <c r="E69" s="172"/>
      <c r="F69" s="173"/>
      <c r="G69" s="173"/>
      <c r="H69" s="173"/>
      <c r="I69" s="173"/>
      <c r="J69" s="155"/>
      <c r="K69" s="155"/>
      <c r="L69" s="155"/>
      <c r="M69" s="155" t="e">
        <f t="shared" si="62"/>
        <v>#VALUE!</v>
      </c>
      <c r="N69" s="370"/>
      <c r="O69" s="174">
        <f t="shared" si="3"/>
        <v>0</v>
      </c>
      <c r="P69" s="306"/>
      <c r="Q69" s="306"/>
      <c r="R69" s="357"/>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23"/>
      <c r="AU69" s="104"/>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row>
    <row r="70" spans="1:82" s="47" customFormat="1" ht="17.25" thickTop="1" thickBot="1">
      <c r="A70" s="213"/>
      <c r="B70" s="217"/>
      <c r="C70" s="299"/>
      <c r="D70" s="369"/>
      <c r="E70" s="352"/>
      <c r="F70" s="348"/>
      <c r="G70" s="348"/>
      <c r="H70" s="349"/>
      <c r="I70" s="349"/>
      <c r="J70" s="349"/>
      <c r="K70" s="349"/>
      <c r="L70" s="350"/>
      <c r="M70" s="348" t="e">
        <f t="shared" si="62"/>
        <v>#VALUE!</v>
      </c>
      <c r="N70" s="353"/>
      <c r="O70" s="354">
        <f t="shared" si="3"/>
        <v>0</v>
      </c>
      <c r="P70" s="170"/>
      <c r="Q70" s="170"/>
      <c r="R70" s="351"/>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23"/>
      <c r="AU70" s="104"/>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row>
    <row r="71" spans="1:82" s="47" customFormat="1" ht="62.25" customHeight="1" thickBot="1">
      <c r="A71" s="64" t="str">
        <f t="shared" ref="A71:A72" si="78">IF(AND(F71="B",IF(OR(G71="LD",G71="LDU",G71="ADD",G71="SUB",G71="AND",G71="OR",G71="XOR"),1,0)),CONCATENATE(G71,"#"),G71)</f>
        <v>JSR</v>
      </c>
      <c r="B71" s="159" t="str">
        <f>"R["&amp;H71&amp;"] &lt;= [PC] //R[30]=LINK"&amp;CHAR(10)&amp;"PC &lt;= MEM["&amp;I71&amp;"]"</f>
        <v>R[30] &lt;= [PC] //R[30]=LINK
PC &lt;= MEM[1]</v>
      </c>
      <c r="C71" s="259" t="s">
        <v>423</v>
      </c>
      <c r="D71" s="202" t="str">
        <f t="shared" ref="D71:D72" si="79">IF(F71="A",CONCATENATE(F71," ",G71," R",H71,",R",I71,",R",J71),IF(F71="B",CONCATENATE(F71," ",G71," R",H71,",R",I71,",",K71),CONCATENATE(F71," ",G71," ",K71)))</f>
        <v>A JSR R30,R1,R0</v>
      </c>
      <c r="E71" s="203"/>
      <c r="F71" s="211" t="s">
        <v>212</v>
      </c>
      <c r="G71" s="211" t="s">
        <v>90</v>
      </c>
      <c r="H71" s="205">
        <v>30</v>
      </c>
      <c r="I71" s="205">
        <v>1</v>
      </c>
      <c r="J71" s="205">
        <v>0</v>
      </c>
      <c r="K71" s="206" t="s">
        <v>213</v>
      </c>
      <c r="L71" s="253" t="s">
        <v>213</v>
      </c>
      <c r="M71" s="368" t="str">
        <f>"MEM["&amp;I71&amp;"]"</f>
        <v>MEM[1]</v>
      </c>
      <c r="N71" s="268"/>
      <c r="O71" s="207">
        <f t="shared" si="3"/>
        <v>0</v>
      </c>
      <c r="P71" s="208">
        <f>P70</f>
        <v>0</v>
      </c>
      <c r="Q71" s="208">
        <f t="shared" ref="Q71:Q72" si="80">Q70</f>
        <v>0</v>
      </c>
      <c r="R71" s="218">
        <f t="shared" ref="R71:R72" si="81">R70</f>
        <v>0</v>
      </c>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23"/>
      <c r="AU71" s="104"/>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row>
    <row r="72" spans="1:82" s="47" customFormat="1" ht="32.25" thickBot="1">
      <c r="A72" s="64" t="str">
        <f t="shared" si="78"/>
        <v>RTS</v>
      </c>
      <c r="B72" s="159" t="str">
        <f>"PC &lt;= MEM["&amp;I72&amp;"]  //R[30]=LINK"</f>
        <v>PC &lt;= MEM[30]  //R[30]=LINK</v>
      </c>
      <c r="C72" s="259" t="s">
        <v>424</v>
      </c>
      <c r="D72" s="254" t="str">
        <f t="shared" si="79"/>
        <v>A RTS R1,R30,R0</v>
      </c>
      <c r="E72" s="255"/>
      <c r="F72" s="256" t="s">
        <v>212</v>
      </c>
      <c r="G72" s="256" t="s">
        <v>95</v>
      </c>
      <c r="H72" s="257">
        <v>1</v>
      </c>
      <c r="I72" s="257">
        <v>30</v>
      </c>
      <c r="J72" s="257">
        <v>0</v>
      </c>
      <c r="K72" s="258" t="s">
        <v>213</v>
      </c>
      <c r="L72" s="372" t="s">
        <v>213</v>
      </c>
      <c r="M72" s="373" t="str">
        <f>"MEM["&amp;I72&amp;"]"</f>
        <v>MEM[30]</v>
      </c>
      <c r="N72" s="385"/>
      <c r="O72" s="102">
        <f t="shared" si="3"/>
        <v>0</v>
      </c>
      <c r="P72" s="374">
        <f>P71</f>
        <v>0</v>
      </c>
      <c r="Q72" s="374">
        <f t="shared" si="80"/>
        <v>0</v>
      </c>
      <c r="R72" s="375">
        <f t="shared" si="81"/>
        <v>0</v>
      </c>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23"/>
      <c r="AU72" s="104"/>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row>
    <row r="73" spans="1:82" s="47" customFormat="1" ht="17.25" thickTop="1" thickBot="1">
      <c r="A73" s="189"/>
      <c r="B73" s="177"/>
      <c r="C73" s="263"/>
      <c r="D73" s="187"/>
      <c r="E73" s="172"/>
      <c r="F73" s="173"/>
      <c r="G73" s="173"/>
      <c r="H73" s="173"/>
      <c r="I73" s="173"/>
      <c r="J73" s="155"/>
      <c r="K73" s="155"/>
      <c r="L73" s="155"/>
      <c r="M73" s="155" t="e">
        <f t="shared" si="62"/>
        <v>#VALUE!</v>
      </c>
      <c r="N73" s="370"/>
      <c r="O73" s="174">
        <f t="shared" ref="O73:O84" si="82">O72</f>
        <v>0</v>
      </c>
      <c r="P73" s="306"/>
      <c r="Q73" s="306"/>
      <c r="R73" s="357"/>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23"/>
      <c r="AU73" s="104"/>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row>
    <row r="74" spans="1:82" s="47" customFormat="1" ht="17.25" thickTop="1" thickBot="1">
      <c r="A74" s="189"/>
      <c r="B74" s="177"/>
      <c r="C74" s="263"/>
      <c r="D74" s="188"/>
      <c r="E74" s="182"/>
      <c r="F74" s="183"/>
      <c r="G74" s="183"/>
      <c r="H74" s="183"/>
      <c r="I74" s="183"/>
      <c r="J74" s="156"/>
      <c r="K74" s="156"/>
      <c r="L74" s="156"/>
      <c r="M74" s="156" t="e">
        <f t="shared" si="62"/>
        <v>#VALUE!</v>
      </c>
      <c r="N74" s="371"/>
      <c r="O74" s="184">
        <f t="shared" si="82"/>
        <v>0</v>
      </c>
      <c r="P74" s="272"/>
      <c r="Q74" s="272"/>
      <c r="R74" s="359"/>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23"/>
      <c r="AU74" s="104"/>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row>
    <row r="75" spans="1:82" s="47" customFormat="1" ht="48.75" thickTop="1" thickBot="1">
      <c r="A75" s="64" t="str">
        <f t="shared" ref="A75" si="83">IF(AND(F75="B",IF(OR(G75="LD",G75="LDU",G75="ADD",G75="SUB",G75="AND",G75="OR",G75="XOR"),1,0)),CONCATENATE(G75,"#"),G75)</f>
        <v>BEQ</v>
      </c>
      <c r="B75" s="159" t="str">
        <f>"if (R["&amp;H75&amp;"]=R["&amp;I75&amp;"])"&amp;CHAR(10)&amp;"EA&lt;= "&amp;K75&amp;""&amp;CHAR(10)&amp;"PC &lt;= MEM[EA]"</f>
        <v>if (R[1]=R[2])
EA&lt;= 117
PC &lt;= MEM[EA]</v>
      </c>
      <c r="C75" s="259" t="s">
        <v>425</v>
      </c>
      <c r="D75" s="160" t="str">
        <f t="shared" ref="D75" si="84">IF(F75="A",CONCATENATE(F75," ",G75," R",H75,",R",I75,",R",J75),IF(F75="B",CONCATENATE(F75," ",G75," R",H75,",R",I75,",",K75),CONCATENATE(F75," ",G75," ",K75)))</f>
        <v>B BEQ R1,R2,117</v>
      </c>
      <c r="E75" s="161"/>
      <c r="F75" s="162" t="s">
        <v>216</v>
      </c>
      <c r="G75" s="163" t="s">
        <v>121</v>
      </c>
      <c r="H75" s="164">
        <v>1</v>
      </c>
      <c r="I75" s="164">
        <v>2</v>
      </c>
      <c r="J75" s="164" t="s">
        <v>213</v>
      </c>
      <c r="K75" s="260">
        <v>117</v>
      </c>
      <c r="L75" s="261" t="str">
        <f t="shared" ref="L75:L77" si="85">RIGHT(DEC2HEX(K75,10),8)</f>
        <v>00000075</v>
      </c>
      <c r="M75" s="367" t="str">
        <f>"MEM["&amp;I75&amp;"]"</f>
        <v>MEM[2]</v>
      </c>
      <c r="N75" s="386"/>
      <c r="O75" s="165">
        <f t="shared" si="82"/>
        <v>0</v>
      </c>
      <c r="P75" s="186">
        <f>R73</f>
        <v>0</v>
      </c>
      <c r="Q75" s="166">
        <f t="shared" ref="Q75" si="86">Q74</f>
        <v>0</v>
      </c>
      <c r="R75" s="262">
        <f t="shared" ref="R75" si="87">R74</f>
        <v>0</v>
      </c>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23"/>
      <c r="AU75" s="104"/>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row>
    <row r="76" spans="1:82" s="47" customFormat="1" ht="48" thickBot="1">
      <c r="A76" s="64" t="str">
        <f t="shared" ref="A76:A77" si="88">IF(AND(F76="B",IF(OR(G76="LD",G76="LDU",G76="ADD",G76="SUB",G76="AND",G76="OR",G76="XOR"),1,0)),CONCATENATE(G76,"#"),G76)</f>
        <v>BNE</v>
      </c>
      <c r="B76" s="159" t="str">
        <f>"if (NOT(R["&amp;H76&amp;"]=R["&amp;I76&amp;"]))"&amp;CHAR(10)&amp;"EA&lt;= "&amp;K76&amp;CHAR(10)&amp;"PC &lt;= MEM[EA]"</f>
        <v>if (NOT(R[1]=R[2]))
EA&lt;= 118
PC &lt;= MEM[EA]</v>
      </c>
      <c r="C76" s="259" t="s">
        <v>426</v>
      </c>
      <c r="D76" s="202" t="str">
        <f t="shared" ref="D76:D77" si="89">IF(F76="A",CONCATENATE(F76," ",G76," R",H76,",R",I76,",R",J76),IF(F76="B",CONCATENATE(F76," ",G76," R",H76,",R",I76,",",K76),CONCATENATE(F76," ",G76," ",K76)))</f>
        <v>B BNE R1,R2,118</v>
      </c>
      <c r="E76" s="203"/>
      <c r="F76" s="210" t="s">
        <v>216</v>
      </c>
      <c r="G76" s="211" t="s">
        <v>126</v>
      </c>
      <c r="H76" s="205">
        <v>1</v>
      </c>
      <c r="I76" s="205">
        <v>2</v>
      </c>
      <c r="J76" s="205" t="s">
        <v>213</v>
      </c>
      <c r="K76" s="206">
        <v>118</v>
      </c>
      <c r="L76" s="251" t="str">
        <f t="shared" si="85"/>
        <v>00000076</v>
      </c>
      <c r="M76" s="368" t="str">
        <f>"MEM["&amp;I76&amp;"]"</f>
        <v>MEM[2]</v>
      </c>
      <c r="N76" s="268"/>
      <c r="O76" s="207">
        <f t="shared" ref="O76:O77" si="90">O75</f>
        <v>0</v>
      </c>
      <c r="P76" s="208">
        <f>R74</f>
        <v>0</v>
      </c>
      <c r="Q76" s="236">
        <f t="shared" ref="Q76:Q77" si="91">Q75</f>
        <v>0</v>
      </c>
      <c r="R76" s="209">
        <f t="shared" ref="R76:R77" si="92">R75</f>
        <v>0</v>
      </c>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23"/>
      <c r="AU76" s="104"/>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row>
    <row r="77" spans="1:82" s="47" customFormat="1" ht="48" thickBot="1">
      <c r="A77" s="64" t="str">
        <f t="shared" si="88"/>
        <v>BLT</v>
      </c>
      <c r="B77" s="159" t="str">
        <f>"if (R["&amp;H77&amp;"]&lt;R["&amp;I77&amp;"])"&amp;CHAR(10)&amp;"EA&lt;= "&amp;K77&amp;""&amp;CHAR(10)&amp;"PC &lt;= MEM[EA]"</f>
        <v>if (R[1]&lt;R[2])
EA&lt;= 119
PC &lt;= MEM[EA]</v>
      </c>
      <c r="C77" s="259" t="s">
        <v>427</v>
      </c>
      <c r="D77" s="227" t="str">
        <f t="shared" si="89"/>
        <v>B BLT R1,R2,119</v>
      </c>
      <c r="E77" s="228"/>
      <c r="F77" s="229" t="s">
        <v>216</v>
      </c>
      <c r="G77" s="230" t="s">
        <v>130</v>
      </c>
      <c r="H77" s="231">
        <v>1</v>
      </c>
      <c r="I77" s="231">
        <v>2</v>
      </c>
      <c r="J77" s="231" t="s">
        <v>213</v>
      </c>
      <c r="K77" s="232">
        <v>119</v>
      </c>
      <c r="L77" s="379" t="str">
        <f t="shared" si="85"/>
        <v>00000077</v>
      </c>
      <c r="M77" s="380" t="str">
        <f>"MEM["&amp;I77&amp;"]"</f>
        <v>MEM[2]</v>
      </c>
      <c r="N77" s="387"/>
      <c r="O77" s="235">
        <f t="shared" si="90"/>
        <v>0</v>
      </c>
      <c r="P77" s="381">
        <f>R75</f>
        <v>0</v>
      </c>
      <c r="Q77" s="301">
        <f t="shared" si="91"/>
        <v>0</v>
      </c>
      <c r="R77" s="302">
        <f t="shared" si="92"/>
        <v>0</v>
      </c>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23"/>
      <c r="AU77" s="104"/>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row>
    <row r="78" spans="1:82" s="47" customFormat="1" ht="17.25" thickTop="1" thickBot="1">
      <c r="A78" s="77"/>
      <c r="B78" s="22"/>
      <c r="C78" s="45"/>
      <c r="D78" s="91"/>
      <c r="E78" s="60"/>
      <c r="F78" s="62"/>
      <c r="G78" s="62"/>
      <c r="H78" s="62"/>
      <c r="I78" s="62"/>
      <c r="J78" s="61"/>
      <c r="K78" s="61"/>
      <c r="L78" s="61"/>
      <c r="M78" s="61" t="e">
        <f t="shared" si="62"/>
        <v>#VALUE!</v>
      </c>
      <c r="N78" s="106"/>
      <c r="O78" s="108">
        <f t="shared" si="82"/>
        <v>0</v>
      </c>
      <c r="P78" s="306"/>
      <c r="Q78" s="247"/>
      <c r="R78" s="376"/>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23"/>
      <c r="AU78" s="104"/>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row>
    <row r="79" spans="1:82" s="47" customFormat="1" ht="17.25" thickTop="1" thickBot="1">
      <c r="A79" s="77"/>
      <c r="B79" s="22"/>
      <c r="C79" s="45"/>
      <c r="D79" s="92"/>
      <c r="E79" s="51"/>
      <c r="F79" s="50"/>
      <c r="G79" s="50"/>
      <c r="H79" s="50"/>
      <c r="I79" s="50"/>
      <c r="J79" s="49"/>
      <c r="K79" s="49"/>
      <c r="L79" s="49"/>
      <c r="M79" s="49" t="e">
        <f t="shared" si="62"/>
        <v>#VALUE!</v>
      </c>
      <c r="N79" s="87"/>
      <c r="O79" s="114">
        <f t="shared" si="82"/>
        <v>0</v>
      </c>
      <c r="P79" s="127"/>
      <c r="Q79" s="127"/>
      <c r="R79" s="377"/>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23"/>
      <c r="AU79" s="104"/>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row>
    <row r="80" spans="1:82" s="47" customFormat="1" ht="17.25" thickTop="1" thickBot="1">
      <c r="A80" s="77"/>
      <c r="B80" s="22"/>
      <c r="C80" s="45"/>
      <c r="D80" s="93"/>
      <c r="E80" s="66"/>
      <c r="F80" s="68"/>
      <c r="G80" s="68"/>
      <c r="H80" s="68"/>
      <c r="I80" s="68"/>
      <c r="J80" s="67"/>
      <c r="K80" s="67"/>
      <c r="L80" s="67"/>
      <c r="M80" s="67" t="e">
        <f t="shared" si="62"/>
        <v>#VALUE!</v>
      </c>
      <c r="N80" s="134"/>
      <c r="O80" s="120">
        <f t="shared" si="82"/>
        <v>0</v>
      </c>
      <c r="P80" s="129"/>
      <c r="Q80" s="129"/>
      <c r="R80" s="378"/>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23"/>
      <c r="AU80" s="104"/>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row>
    <row r="81" spans="1:82" s="47" customFormat="1" ht="33" thickTop="1" thickBot="1">
      <c r="A81" s="64" t="str">
        <f t="shared" ref="A81:A82" si="93">IF(AND(F81="B",IF(OR(G81="LD",G81="LDU",G81="ADD",G81="SUB",G81="AND",G81="OR",G81="XOR"),1,0)),CONCATENATE(G81,"#"),G81)</f>
        <v>BRA</v>
      </c>
      <c r="B81" s="159" t="str">
        <f>"EA&lt;= "&amp;K81&amp;CHAR(10)&amp;"PC &lt;= MEM[EA]"</f>
        <v>EA&lt;= 110
PC &lt;= MEM[EA]</v>
      </c>
      <c r="C81" s="259" t="s">
        <v>425</v>
      </c>
      <c r="D81" s="202" t="str">
        <f t="shared" ref="D81:D82" si="94">IF(F81="A",CONCATENATE(F81," ",G81," R",H81,",R",I81,",R",J81),IF(F81="B",CONCATENATE(F81," ",G81," R",H81,",R",I81,",",K81),CONCATENATE(F81," ",G81," ",K81)))</f>
        <v>C BRA 110</v>
      </c>
      <c r="E81" s="203"/>
      <c r="F81" s="214" t="s">
        <v>281</v>
      </c>
      <c r="G81" s="211" t="s">
        <v>158</v>
      </c>
      <c r="H81" s="205" t="s">
        <v>213</v>
      </c>
      <c r="I81" s="205" t="s">
        <v>213</v>
      </c>
      <c r="J81" s="205" t="s">
        <v>213</v>
      </c>
      <c r="K81" s="206">
        <v>110</v>
      </c>
      <c r="L81" s="251" t="str">
        <f t="shared" ref="L81:L82" si="95">RIGHT(DEC2HEX(K81,10),8)</f>
        <v>0000006E</v>
      </c>
      <c r="M81" s="368" t="str">
        <f>"MEM["&amp;K81&amp;"]"</f>
        <v>MEM[110]</v>
      </c>
      <c r="N81" s="268"/>
      <c r="O81" s="207">
        <f t="shared" si="82"/>
        <v>0</v>
      </c>
      <c r="P81" s="208">
        <f>R79</f>
        <v>0</v>
      </c>
      <c r="Q81" s="236">
        <f t="shared" ref="Q81:Q82" si="96">Q80</f>
        <v>0</v>
      </c>
      <c r="R81" s="209">
        <f t="shared" ref="R81:R82" si="97">R80</f>
        <v>0</v>
      </c>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23"/>
      <c r="AU81" s="104"/>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row>
    <row r="82" spans="1:82" s="47" customFormat="1" ht="48" thickBot="1">
      <c r="A82" s="64" t="str">
        <f t="shared" si="93"/>
        <v>BSR</v>
      </c>
      <c r="B82" s="159" t="str">
        <f>"if (R["&amp;H82&amp;"]&lt;R["&amp;I82&amp;"])"&amp;CHAR(10)&amp;"EA&lt;= "&amp;K82&amp;""&amp;CHAR(10)&amp;"PC &lt;= MEM[EA]"</f>
        <v>if (R[-]&lt;R[-])
EA&lt;= 111
PC &lt;= MEM[EA]</v>
      </c>
      <c r="C82" s="259" t="s">
        <v>425</v>
      </c>
      <c r="D82" s="202" t="str">
        <f t="shared" si="94"/>
        <v>C BSR 111</v>
      </c>
      <c r="E82" s="203"/>
      <c r="F82" s="214" t="s">
        <v>281</v>
      </c>
      <c r="G82" s="211" t="s">
        <v>163</v>
      </c>
      <c r="H82" s="205" t="s">
        <v>213</v>
      </c>
      <c r="I82" s="205" t="s">
        <v>213</v>
      </c>
      <c r="J82" s="205" t="s">
        <v>213</v>
      </c>
      <c r="K82" s="206">
        <v>111</v>
      </c>
      <c r="L82" s="251" t="str">
        <f t="shared" si="95"/>
        <v>0000006F</v>
      </c>
      <c r="M82" s="368" t="str">
        <f>"MEM["&amp;K82&amp;"]"</f>
        <v>MEM[111]</v>
      </c>
      <c r="N82" s="268"/>
      <c r="O82" s="207">
        <f t="shared" si="82"/>
        <v>0</v>
      </c>
      <c r="P82" s="208">
        <f>R80</f>
        <v>0</v>
      </c>
      <c r="Q82" s="236">
        <f t="shared" si="96"/>
        <v>0</v>
      </c>
      <c r="R82" s="209">
        <f t="shared" si="97"/>
        <v>0</v>
      </c>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23"/>
      <c r="AU82" s="104"/>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row>
    <row r="83" spans="1:82" s="47" customFormat="1" ht="17.25" thickTop="1" thickBot="1">
      <c r="A83" s="77"/>
      <c r="B83" s="22"/>
      <c r="C83" s="75"/>
      <c r="D83" s="91"/>
      <c r="E83" s="60"/>
      <c r="F83" s="62"/>
      <c r="G83" s="62"/>
      <c r="H83" s="62"/>
      <c r="I83" s="62"/>
      <c r="J83" s="61"/>
      <c r="K83" s="61"/>
      <c r="L83" s="106"/>
      <c r="M83" s="61" t="e">
        <f t="shared" ref="M83:M84" si="98">M82+1</f>
        <v>#VALUE!</v>
      </c>
      <c r="N83" s="107"/>
      <c r="O83" s="108">
        <f t="shared" si="82"/>
        <v>0</v>
      </c>
      <c r="P83" s="392"/>
      <c r="Q83" s="247"/>
      <c r="R83" s="376"/>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23"/>
      <c r="AU83" s="104"/>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row>
    <row r="84" spans="1:82" s="47" customFormat="1" ht="17.25" thickTop="1" thickBot="1">
      <c r="A84" s="391"/>
      <c r="B84" s="65"/>
      <c r="C84" s="76"/>
      <c r="D84" s="93"/>
      <c r="E84" s="66"/>
      <c r="F84" s="68"/>
      <c r="G84" s="68"/>
      <c r="H84" s="68"/>
      <c r="I84" s="68"/>
      <c r="J84" s="67"/>
      <c r="K84" s="67"/>
      <c r="L84" s="134"/>
      <c r="M84" s="67" t="e">
        <f t="shared" si="98"/>
        <v>#VALUE!</v>
      </c>
      <c r="N84" s="135"/>
      <c r="O84" s="120">
        <f t="shared" si="82"/>
        <v>0</v>
      </c>
      <c r="P84" s="128"/>
      <c r="Q84" s="129"/>
      <c r="R84" s="378"/>
      <c r="S84" s="130"/>
      <c r="T84" s="130"/>
      <c r="U84" s="130"/>
      <c r="V84" s="130"/>
      <c r="W84" s="130"/>
      <c r="X84" s="130"/>
      <c r="Y84" s="130"/>
      <c r="Z84" s="130"/>
      <c r="AA84" s="130"/>
      <c r="AB84" s="130"/>
      <c r="AC84" s="130"/>
      <c r="AD84" s="130"/>
      <c r="AE84" s="130"/>
      <c r="AF84" s="130"/>
      <c r="AG84" s="130"/>
      <c r="AH84" s="130"/>
      <c r="AI84" s="130"/>
      <c r="AJ84" s="130"/>
      <c r="AK84" s="130"/>
      <c r="AL84" s="130"/>
      <c r="AM84" s="130"/>
      <c r="AN84" s="130"/>
      <c r="AO84" s="130"/>
      <c r="AP84" s="130"/>
      <c r="AQ84" s="130"/>
      <c r="AR84" s="130"/>
      <c r="AS84" s="130"/>
      <c r="AT84" s="131"/>
      <c r="AU84" s="132"/>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row>
    <row r="85" spans="1:82" s="47" customFormat="1"/>
    <row r="86" spans="1:82" s="47" customFormat="1"/>
    <row r="87" spans="1:82" s="47" customFormat="1"/>
    <row r="88" spans="1:82" s="47" customFormat="1"/>
    <row r="89" spans="1:82" s="47" customFormat="1"/>
    <row r="90" spans="1:82" s="47" customFormat="1"/>
    <row r="91" spans="1:82" s="47" customFormat="1"/>
    <row r="92" spans="1:82" s="47" customFormat="1"/>
    <row r="93" spans="1:82" s="47" customFormat="1"/>
    <row r="94" spans="1:82" s="47" customFormat="1"/>
    <row r="95" spans="1:82">
      <c r="N95"/>
    </row>
    <row r="96" spans="1:82">
      <c r="N96"/>
    </row>
    <row r="97" spans="14:14">
      <c r="N97"/>
    </row>
    <row r="98" spans="14:14">
      <c r="N98"/>
    </row>
    <row r="99" spans="14:14">
      <c r="N99"/>
    </row>
    <row r="100" spans="14:14">
      <c r="N100"/>
    </row>
    <row r="101" spans="14:14">
      <c r="N101"/>
    </row>
    <row r="102" spans="14:14">
      <c r="N102"/>
    </row>
    <row r="103" spans="14:14">
      <c r="N103"/>
    </row>
    <row r="104" spans="14:14">
      <c r="N104"/>
    </row>
    <row r="105" spans="14:14">
      <c r="N105"/>
    </row>
    <row r="106" spans="14:14">
      <c r="N106"/>
    </row>
    <row r="107" spans="14:14">
      <c r="N107"/>
    </row>
    <row r="108" spans="14:14">
      <c r="N108"/>
    </row>
    <row r="109" spans="14:14">
      <c r="N109"/>
    </row>
    <row r="110" spans="14:14">
      <c r="N110"/>
    </row>
    <row r="111" spans="14:14">
      <c r="N111"/>
    </row>
    <row r="112" spans="14:14">
      <c r="N112"/>
    </row>
    <row r="113" spans="14:14">
      <c r="N113"/>
    </row>
    <row r="114" spans="14:14">
      <c r="N114"/>
    </row>
    <row r="115" spans="14:14">
      <c r="N115"/>
    </row>
    <row r="116" spans="14:14">
      <c r="N116"/>
    </row>
    <row r="117" spans="14:14">
      <c r="N117"/>
    </row>
    <row r="118" spans="14:14">
      <c r="N118"/>
    </row>
    <row r="119" spans="14:14">
      <c r="N119"/>
    </row>
    <row r="120" spans="14:14">
      <c r="N120"/>
    </row>
    <row r="121" spans="14:14">
      <c r="N121"/>
    </row>
    <row r="122" spans="14:14">
      <c r="N122"/>
    </row>
    <row r="123" spans="14:14">
      <c r="N123"/>
    </row>
    <row r="124" spans="14:14">
      <c r="N124"/>
    </row>
    <row r="125" spans="14:14">
      <c r="N125"/>
    </row>
    <row r="126" spans="14:14">
      <c r="N126"/>
    </row>
    <row r="127" spans="14:14">
      <c r="N127"/>
    </row>
    <row r="128" spans="14:14">
      <c r="N128"/>
    </row>
    <row r="129" spans="14:14">
      <c r="N129"/>
    </row>
    <row r="130" spans="14:14">
      <c r="N130"/>
    </row>
    <row r="131" spans="14:14">
      <c r="N131"/>
    </row>
    <row r="132" spans="14:14">
      <c r="N132"/>
    </row>
    <row r="133" spans="14:14">
      <c r="N133"/>
    </row>
    <row r="134" spans="14:14">
      <c r="N134"/>
    </row>
    <row r="135" spans="14:14">
      <c r="N135"/>
    </row>
    <row r="136" spans="14:14">
      <c r="N136"/>
    </row>
    <row r="137" spans="14:14">
      <c r="N137"/>
    </row>
    <row r="138" spans="14:14">
      <c r="N138"/>
    </row>
    <row r="139" spans="14:14">
      <c r="N139"/>
    </row>
    <row r="140" spans="14:14">
      <c r="N140"/>
    </row>
    <row r="141" spans="14:14">
      <c r="N141"/>
    </row>
    <row r="142" spans="14:14">
      <c r="N142"/>
    </row>
    <row r="143" spans="14:14">
      <c r="N143"/>
    </row>
    <row r="144" spans="14:14">
      <c r="N144"/>
    </row>
    <row r="145" spans="14:14">
      <c r="N145"/>
    </row>
    <row r="146" spans="14:14">
      <c r="N146"/>
    </row>
    <row r="147" spans="14:14">
      <c r="N147"/>
    </row>
    <row r="148" spans="14:14">
      <c r="N148"/>
    </row>
    <row r="149" spans="14:14">
      <c r="N149"/>
    </row>
    <row r="150" spans="14:14">
      <c r="N150"/>
    </row>
    <row r="151" spans="14:14">
      <c r="N151"/>
    </row>
    <row r="152" spans="14:14">
      <c r="N152"/>
    </row>
    <row r="153" spans="14:14">
      <c r="N153"/>
    </row>
    <row r="154" spans="14:14">
      <c r="N154"/>
    </row>
    <row r="155" spans="14:14">
      <c r="N155"/>
    </row>
    <row r="156" spans="14:14">
      <c r="N156"/>
    </row>
    <row r="157" spans="14:14">
      <c r="N157"/>
    </row>
    <row r="158" spans="14:14">
      <c r="N158"/>
    </row>
    <row r="159" spans="14:14">
      <c r="N159"/>
    </row>
    <row r="160" spans="14:14">
      <c r="N160"/>
    </row>
    <row r="161" spans="14:14">
      <c r="N161"/>
    </row>
    <row r="162" spans="14:14">
      <c r="N162"/>
    </row>
    <row r="163" spans="14:14">
      <c r="N163"/>
    </row>
    <row r="164" spans="14:14">
      <c r="N164"/>
    </row>
    <row r="165" spans="14:14">
      <c r="N165"/>
    </row>
    <row r="166" spans="14:14">
      <c r="N166"/>
    </row>
    <row r="167" spans="14:14">
      <c r="N167"/>
    </row>
    <row r="168" spans="14:14">
      <c r="N168"/>
    </row>
    <row r="169" spans="14:14">
      <c r="N169"/>
    </row>
    <row r="170" spans="14:14">
      <c r="N170"/>
    </row>
    <row r="171" spans="14:14">
      <c r="N171"/>
    </row>
    <row r="172" spans="14:14">
      <c r="N172"/>
    </row>
    <row r="173" spans="14:14">
      <c r="N173"/>
    </row>
    <row r="174" spans="14:14">
      <c r="N174"/>
    </row>
    <row r="175" spans="14:14">
      <c r="N175"/>
    </row>
    <row r="176" spans="14:14">
      <c r="N176"/>
    </row>
    <row r="177" spans="14:14">
      <c r="N177"/>
    </row>
    <row r="178" spans="14:14">
      <c r="N178"/>
    </row>
    <row r="179" spans="14:14">
      <c r="N179"/>
    </row>
    <row r="180" spans="14:14">
      <c r="N180"/>
    </row>
    <row r="181" spans="14:14">
      <c r="N181"/>
    </row>
    <row r="182" spans="14:14">
      <c r="N182"/>
    </row>
    <row r="183" spans="14:14">
      <c r="N183"/>
    </row>
    <row r="184" spans="14:14">
      <c r="N184"/>
    </row>
    <row r="185" spans="14:14">
      <c r="N185"/>
    </row>
    <row r="186" spans="14:14">
      <c r="N186"/>
    </row>
    <row r="187" spans="14:14">
      <c r="N187"/>
    </row>
    <row r="188" spans="14:14">
      <c r="N188"/>
    </row>
    <row r="189" spans="14:14">
      <c r="N189"/>
    </row>
    <row r="190" spans="14:14">
      <c r="N190"/>
    </row>
    <row r="191" spans="14:14">
      <c r="N191"/>
    </row>
    <row r="192" spans="14:14">
      <c r="N192"/>
    </row>
    <row r="193" spans="14:14">
      <c r="N193"/>
    </row>
    <row r="194" spans="14:14">
      <c r="N194"/>
    </row>
    <row r="195" spans="14:14">
      <c r="N195"/>
    </row>
    <row r="196" spans="14:14">
      <c r="N196"/>
    </row>
    <row r="197" spans="14:14">
      <c r="N197"/>
    </row>
    <row r="198" spans="14:14">
      <c r="N198"/>
    </row>
    <row r="199" spans="14:14">
      <c r="N199"/>
    </row>
    <row r="200" spans="14:14">
      <c r="N200"/>
    </row>
    <row r="201" spans="14:14">
      <c r="N201"/>
    </row>
    <row r="202" spans="14:14">
      <c r="N202"/>
    </row>
    <row r="203" spans="14:14">
      <c r="N203"/>
    </row>
    <row r="204" spans="14:14">
      <c r="N204"/>
    </row>
    <row r="205" spans="14:14">
      <c r="N205"/>
    </row>
    <row r="206" spans="14:14">
      <c r="N206"/>
    </row>
    <row r="207" spans="14:14">
      <c r="N207"/>
    </row>
    <row r="208" spans="14:14">
      <c r="N208"/>
    </row>
    <row r="209" spans="14:14">
      <c r="N209"/>
    </row>
    <row r="210" spans="14:14">
      <c r="N210"/>
    </row>
    <row r="211" spans="14:14">
      <c r="N211"/>
    </row>
    <row r="212" spans="14:14">
      <c r="N212"/>
    </row>
    <row r="213" spans="14:14">
      <c r="N213"/>
    </row>
    <row r="214" spans="14:14">
      <c r="N214"/>
    </row>
    <row r="215" spans="14:14">
      <c r="N215"/>
    </row>
    <row r="216" spans="14:14">
      <c r="N216"/>
    </row>
    <row r="217" spans="14:14">
      <c r="N217"/>
    </row>
    <row r="218" spans="14:14">
      <c r="N218"/>
    </row>
    <row r="219" spans="14:14">
      <c r="N219"/>
    </row>
    <row r="220" spans="14:14">
      <c r="N220"/>
    </row>
    <row r="221" spans="14:14">
      <c r="N221"/>
    </row>
    <row r="222" spans="14:14">
      <c r="N222"/>
    </row>
    <row r="223" spans="14:14">
      <c r="N223"/>
    </row>
    <row r="224" spans="14:14">
      <c r="N224"/>
    </row>
    <row r="225" spans="14:14">
      <c r="N225"/>
    </row>
    <row r="226" spans="14:14">
      <c r="N226"/>
    </row>
    <row r="227" spans="14:14">
      <c r="N227"/>
    </row>
    <row r="228" spans="14:14">
      <c r="N228"/>
    </row>
    <row r="229" spans="14:14">
      <c r="N229"/>
    </row>
    <row r="230" spans="14:14">
      <c r="N230"/>
    </row>
    <row r="231" spans="14:14">
      <c r="N231"/>
    </row>
    <row r="232" spans="14:14">
      <c r="N232"/>
    </row>
    <row r="233" spans="14:14">
      <c r="N233"/>
    </row>
    <row r="234" spans="14:14">
      <c r="N234"/>
    </row>
    <row r="235" spans="14:14">
      <c r="N235"/>
    </row>
    <row r="236" spans="14:14">
      <c r="N236"/>
    </row>
    <row r="237" spans="14:14">
      <c r="N237"/>
    </row>
    <row r="238" spans="14:14">
      <c r="N2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U7"/>
  <sheetViews>
    <sheetView zoomScaleNormal="100" workbookViewId="0"/>
  </sheetViews>
  <sheetFormatPr defaultColWidth="8.25" defaultRowHeight="15.75"/>
  <cols>
    <col min="1" max="1" width="8.25" style="99"/>
    <col min="2" max="2" width="13.125" style="99" bestFit="1" customWidth="1"/>
    <col min="3" max="3" width="10.375" style="99" bestFit="1" customWidth="1"/>
    <col min="4" max="4" width="13" style="99" customWidth="1"/>
    <col min="5" max="5" width="16.875" style="99" bestFit="1" customWidth="1"/>
    <col min="6" max="6" width="7.5" style="99" bestFit="1" customWidth="1"/>
    <col min="7" max="7" width="8" style="99" bestFit="1" customWidth="1"/>
    <col min="8" max="8" width="11.125" style="99" bestFit="1" customWidth="1"/>
    <col min="9" max="10" width="8.125" style="99" bestFit="1" customWidth="1"/>
    <col min="11" max="12" width="16.75" style="99" bestFit="1" customWidth="1"/>
    <col min="13" max="14" width="8.25" style="99"/>
    <col min="15" max="15" width="17.375" style="99" customWidth="1"/>
    <col min="16" max="16384" width="8.25" style="99"/>
  </cols>
  <sheetData>
    <row r="1" spans="1:47">
      <c r="A1" s="19" t="s">
        <v>85</v>
      </c>
      <c r="B1" s="19"/>
      <c r="C1" s="19"/>
      <c r="D1" s="98"/>
      <c r="E1" s="19" t="s">
        <v>347</v>
      </c>
      <c r="F1" s="19"/>
      <c r="G1" s="19"/>
      <c r="H1" s="20"/>
      <c r="I1" s="20"/>
      <c r="J1" s="20"/>
      <c r="K1" s="20"/>
      <c r="L1" s="20"/>
      <c r="M1" s="21"/>
      <c r="N1" s="21"/>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row>
    <row r="2" spans="1:47" ht="31.5">
      <c r="A2" s="19"/>
      <c r="B2" s="19"/>
      <c r="C2" s="19"/>
      <c r="D2" s="98"/>
      <c r="E2" s="19" t="s">
        <v>336</v>
      </c>
      <c r="F2" s="19" t="s">
        <v>337</v>
      </c>
      <c r="G2" s="19" t="s">
        <v>338</v>
      </c>
      <c r="H2" s="19" t="s">
        <v>339</v>
      </c>
      <c r="I2" s="20" t="s">
        <v>340</v>
      </c>
      <c r="J2" s="20" t="s">
        <v>341</v>
      </c>
      <c r="K2" s="20"/>
      <c r="L2" s="20"/>
      <c r="M2" s="21"/>
      <c r="N2" s="21"/>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row>
    <row r="3" spans="1:47" ht="31.5">
      <c r="A3" s="19"/>
      <c r="B3" s="19"/>
      <c r="C3" s="19"/>
      <c r="D3" s="98"/>
      <c r="E3" s="19" t="s">
        <v>342</v>
      </c>
      <c r="F3" s="19" t="s">
        <v>337</v>
      </c>
      <c r="G3" s="19" t="s">
        <v>338</v>
      </c>
      <c r="H3" s="19" t="s">
        <v>339</v>
      </c>
      <c r="I3" s="20" t="s">
        <v>343</v>
      </c>
      <c r="J3" s="20" t="s">
        <v>344</v>
      </c>
      <c r="K3" s="20" t="s">
        <v>345</v>
      </c>
      <c r="L3" s="20"/>
      <c r="M3" s="21"/>
      <c r="N3" s="21"/>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row>
    <row r="4" spans="1:47">
      <c r="A4" s="19"/>
      <c r="B4" s="19"/>
      <c r="C4" s="19"/>
      <c r="D4" s="98"/>
      <c r="E4" s="19" t="s">
        <v>346</v>
      </c>
      <c r="F4" s="19" t="s">
        <v>337</v>
      </c>
      <c r="G4" s="19" t="s">
        <v>338</v>
      </c>
      <c r="H4" s="19"/>
      <c r="I4" s="20"/>
      <c r="J4" s="20"/>
      <c r="K4" s="20" t="s">
        <v>345</v>
      </c>
      <c r="L4" s="20"/>
      <c r="M4" s="21"/>
      <c r="N4" s="21"/>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row>
    <row r="5" spans="1:47" ht="48" thickBot="1">
      <c r="A5" s="19"/>
      <c r="B5" s="19"/>
      <c r="C5" s="19"/>
      <c r="D5" s="98"/>
      <c r="E5" s="98"/>
      <c r="F5" s="19"/>
      <c r="G5" s="19"/>
      <c r="H5" s="20"/>
      <c r="I5" s="20"/>
      <c r="J5" s="20"/>
      <c r="K5" s="20" t="str">
        <f>"-"&amp;2^15&amp;"&lt;VAL&lt;"&amp;2^16</f>
        <v>-32768&lt;VAL&lt;65536</v>
      </c>
      <c r="L5" s="20" t="str">
        <f>"-"&amp;2^15&amp;"&lt;VAL&lt;"&amp;2^16</f>
        <v>-32768&lt;VAL&lt;65536</v>
      </c>
      <c r="O5" s="21" t="s">
        <v>350</v>
      </c>
      <c r="P5" s="19" t="s">
        <v>408</v>
      </c>
      <c r="Q5" s="19" t="s">
        <v>410</v>
      </c>
      <c r="R5" s="19" t="s">
        <v>409</v>
      </c>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row>
    <row r="6" spans="1:47" ht="48" thickBot="1">
      <c r="A6" s="294" t="s">
        <v>166</v>
      </c>
      <c r="B6" s="295" t="s">
        <v>167</v>
      </c>
      <c r="C6" s="296" t="s">
        <v>168</v>
      </c>
      <c r="D6" s="227" t="s">
        <v>169</v>
      </c>
      <c r="E6" s="233" t="s">
        <v>170</v>
      </c>
      <c r="F6" s="233" t="s">
        <v>171</v>
      </c>
      <c r="G6" s="297" t="s">
        <v>166</v>
      </c>
      <c r="H6" s="231" t="s">
        <v>172</v>
      </c>
      <c r="I6" s="231" t="s">
        <v>173</v>
      </c>
      <c r="J6" s="231" t="s">
        <v>174</v>
      </c>
      <c r="K6" s="231" t="s">
        <v>175</v>
      </c>
      <c r="L6" s="231" t="s">
        <v>349</v>
      </c>
      <c r="M6" s="298" t="s">
        <v>176</v>
      </c>
      <c r="N6" s="298" t="s">
        <v>359</v>
      </c>
      <c r="O6" s="264" t="s">
        <v>177</v>
      </c>
      <c r="P6" s="265" t="s">
        <v>178</v>
      </c>
      <c r="Q6" s="266" t="s">
        <v>179</v>
      </c>
      <c r="R6" s="223" t="s">
        <v>180</v>
      </c>
      <c r="S6" s="96" t="s">
        <v>181</v>
      </c>
      <c r="T6" s="89" t="s">
        <v>182</v>
      </c>
      <c r="U6" s="89" t="s">
        <v>183</v>
      </c>
      <c r="V6" s="89" t="s">
        <v>184</v>
      </c>
      <c r="W6" s="89" t="s">
        <v>185</v>
      </c>
      <c r="X6" s="89" t="s">
        <v>186</v>
      </c>
      <c r="Y6" s="89" t="s">
        <v>187</v>
      </c>
      <c r="Z6" s="89" t="s">
        <v>188</v>
      </c>
      <c r="AA6" s="89" t="s">
        <v>189</v>
      </c>
      <c r="AB6" s="89" t="s">
        <v>190</v>
      </c>
      <c r="AC6" s="89" t="s">
        <v>191</v>
      </c>
      <c r="AD6" s="89" t="s">
        <v>192</v>
      </c>
      <c r="AE6" s="89" t="s">
        <v>193</v>
      </c>
      <c r="AF6" s="89" t="s">
        <v>194</v>
      </c>
      <c r="AG6" s="89" t="s">
        <v>195</v>
      </c>
      <c r="AH6" s="89" t="s">
        <v>196</v>
      </c>
      <c r="AI6" s="89" t="s">
        <v>197</v>
      </c>
      <c r="AJ6" s="89" t="s">
        <v>198</v>
      </c>
      <c r="AK6" s="89" t="s">
        <v>199</v>
      </c>
      <c r="AL6" s="89" t="s">
        <v>200</v>
      </c>
      <c r="AM6" s="89" t="s">
        <v>201</v>
      </c>
      <c r="AN6" s="89" t="s">
        <v>202</v>
      </c>
      <c r="AO6" s="89" t="s">
        <v>203</v>
      </c>
      <c r="AP6" s="89" t="s">
        <v>204</v>
      </c>
      <c r="AQ6" s="89" t="s">
        <v>205</v>
      </c>
      <c r="AR6" s="89" t="s">
        <v>206</v>
      </c>
      <c r="AS6" s="89" t="s">
        <v>207</v>
      </c>
      <c r="AT6" s="89" t="s">
        <v>208</v>
      </c>
      <c r="AU6" s="90" t="s">
        <v>209</v>
      </c>
    </row>
    <row r="7" spans="1:47" ht="32.25" thickBot="1">
      <c r="A7" s="212" t="str">
        <f>IF(AND(F7="B",IF(OR(G7="LD",G7="LDU",G7="ADD",G7="SUB",G7="AND",G7="OR",G7="XOR"),1,0)),CONCATENATE(G7,"#"),G7)</f>
        <v>NOP</v>
      </c>
      <c r="B7" s="89" t="s">
        <v>213</v>
      </c>
      <c r="C7" s="90" t="s">
        <v>348</v>
      </c>
      <c r="D7" s="202" t="str">
        <f t="shared" ref="D7" si="0">IF(F7="A",CONCATENATE(F7," ",G7," R",H7,",R",I7,",",J7),IF(F7="B",CONCATENATE(F7," ",G7," R",H7,",R",I7,",",K7),CONCATENATE(F7," ",G7," ",K7)))</f>
        <v>A NOP R0,R0,0</v>
      </c>
      <c r="E7" s="203"/>
      <c r="F7" s="211" t="s">
        <v>212</v>
      </c>
      <c r="G7" s="211" t="s">
        <v>67</v>
      </c>
      <c r="H7" s="205">
        <v>0</v>
      </c>
      <c r="I7" s="205">
        <v>0</v>
      </c>
      <c r="J7" s="205">
        <v>0</v>
      </c>
      <c r="K7" s="206" t="s">
        <v>213</v>
      </c>
      <c r="L7" s="206" t="s">
        <v>213</v>
      </c>
      <c r="M7" s="268">
        <v>0</v>
      </c>
      <c r="N7" s="204"/>
      <c r="O7" s="269">
        <v>0</v>
      </c>
      <c r="P7" s="269"/>
      <c r="Q7" s="250"/>
      <c r="R7" s="27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U7"/>
  <sheetViews>
    <sheetView zoomScaleNormal="100" workbookViewId="0"/>
  </sheetViews>
  <sheetFormatPr defaultColWidth="8.25" defaultRowHeight="15.75"/>
  <cols>
    <col min="1" max="1" width="8.25" style="99"/>
    <col min="2" max="2" width="13.125" style="99" bestFit="1" customWidth="1"/>
    <col min="3" max="3" width="10.375" style="99" bestFit="1" customWidth="1"/>
    <col min="4" max="4" width="13" style="99" customWidth="1"/>
    <col min="5" max="5" width="16.875" style="99" bestFit="1" customWidth="1"/>
    <col min="6" max="6" width="7.5" style="99" bestFit="1" customWidth="1"/>
    <col min="7" max="7" width="8" style="99" bestFit="1" customWidth="1"/>
    <col min="8" max="8" width="11.125" style="99" bestFit="1" customWidth="1"/>
    <col min="9" max="10" width="8.125" style="99" bestFit="1" customWidth="1"/>
    <col min="11" max="12" width="16.75" style="99" bestFit="1" customWidth="1"/>
    <col min="13" max="14" width="8.25" style="99"/>
    <col min="15" max="15" width="17.375" style="99" customWidth="1"/>
    <col min="16" max="16384" width="8.25" style="99"/>
  </cols>
  <sheetData>
    <row r="1" spans="1:47">
      <c r="A1" s="19" t="s">
        <v>411</v>
      </c>
      <c r="B1" s="19"/>
      <c r="C1" s="19"/>
      <c r="D1" s="98"/>
      <c r="E1" s="19" t="s">
        <v>347</v>
      </c>
      <c r="F1" s="19"/>
      <c r="G1" s="19"/>
      <c r="H1" s="20"/>
      <c r="I1" s="20"/>
      <c r="J1" s="20"/>
      <c r="K1" s="20"/>
      <c r="L1" s="20"/>
      <c r="M1" s="21"/>
      <c r="N1" s="21"/>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row>
    <row r="2" spans="1:47" ht="31.5">
      <c r="A2" s="19"/>
      <c r="B2" s="19"/>
      <c r="C2" s="19"/>
      <c r="D2" s="98"/>
      <c r="E2" s="19" t="s">
        <v>336</v>
      </c>
      <c r="F2" s="19" t="s">
        <v>337</v>
      </c>
      <c r="G2" s="19" t="s">
        <v>338</v>
      </c>
      <c r="H2" s="19" t="s">
        <v>339</v>
      </c>
      <c r="I2" s="20" t="s">
        <v>340</v>
      </c>
      <c r="J2" s="20" t="s">
        <v>341</v>
      </c>
      <c r="K2" s="20"/>
      <c r="L2" s="20"/>
      <c r="M2" s="21"/>
      <c r="N2" s="21"/>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row>
    <row r="3" spans="1:47" ht="31.5">
      <c r="A3" s="19"/>
      <c r="B3" s="19"/>
      <c r="C3" s="19"/>
      <c r="D3" s="98"/>
      <c r="E3" s="19" t="s">
        <v>342</v>
      </c>
      <c r="F3" s="19" t="s">
        <v>337</v>
      </c>
      <c r="G3" s="19" t="s">
        <v>338</v>
      </c>
      <c r="H3" s="19" t="s">
        <v>339</v>
      </c>
      <c r="I3" s="20" t="s">
        <v>343</v>
      </c>
      <c r="J3" s="20" t="s">
        <v>344</v>
      </c>
      <c r="K3" s="20" t="s">
        <v>345</v>
      </c>
      <c r="L3" s="20"/>
      <c r="M3" s="21"/>
      <c r="N3" s="21"/>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row>
    <row r="4" spans="1:47">
      <c r="A4" s="19"/>
      <c r="B4" s="19"/>
      <c r="C4" s="19"/>
      <c r="D4" s="98"/>
      <c r="E4" s="19" t="s">
        <v>346</v>
      </c>
      <c r="F4" s="19" t="s">
        <v>337</v>
      </c>
      <c r="G4" s="19" t="s">
        <v>338</v>
      </c>
      <c r="H4" s="19"/>
      <c r="I4" s="20"/>
      <c r="J4" s="20"/>
      <c r="K4" s="20" t="s">
        <v>345</v>
      </c>
      <c r="L4" s="20"/>
      <c r="M4" s="21"/>
      <c r="N4" s="21"/>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row>
    <row r="5" spans="1:47" ht="48" thickBot="1">
      <c r="A5" s="19"/>
      <c r="B5" s="19"/>
      <c r="C5" s="19"/>
      <c r="D5" s="98"/>
      <c r="E5" s="98"/>
      <c r="F5" s="19"/>
      <c r="G5" s="19"/>
      <c r="H5" s="20"/>
      <c r="I5" s="20"/>
      <c r="J5" s="20"/>
      <c r="K5" s="20" t="str">
        <f>"-"&amp;2^15&amp;"&lt;VAL&lt;"&amp;2^16</f>
        <v>-32768&lt;VAL&lt;65536</v>
      </c>
      <c r="L5" s="20" t="str">
        <f>"-"&amp;2^15&amp;"&lt;VAL&lt;"&amp;2^16</f>
        <v>-32768&lt;VAL&lt;65536</v>
      </c>
      <c r="O5" s="21" t="s">
        <v>350</v>
      </c>
      <c r="P5" s="19" t="s">
        <v>408</v>
      </c>
      <c r="Q5" s="19" t="s">
        <v>410</v>
      </c>
      <c r="R5" s="19" t="s">
        <v>409</v>
      </c>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row>
    <row r="6" spans="1:47" ht="48" thickBot="1">
      <c r="A6" s="294" t="s">
        <v>166</v>
      </c>
      <c r="B6" s="295" t="s">
        <v>167</v>
      </c>
      <c r="C6" s="296" t="s">
        <v>168</v>
      </c>
      <c r="D6" s="227" t="s">
        <v>169</v>
      </c>
      <c r="E6" s="233" t="s">
        <v>170</v>
      </c>
      <c r="F6" s="233" t="s">
        <v>171</v>
      </c>
      <c r="G6" s="297" t="s">
        <v>166</v>
      </c>
      <c r="H6" s="231" t="s">
        <v>172</v>
      </c>
      <c r="I6" s="231" t="s">
        <v>173</v>
      </c>
      <c r="J6" s="231" t="s">
        <v>174</v>
      </c>
      <c r="K6" s="231" t="s">
        <v>175</v>
      </c>
      <c r="L6" s="231" t="s">
        <v>349</v>
      </c>
      <c r="M6" s="298" t="s">
        <v>176</v>
      </c>
      <c r="N6" s="298" t="s">
        <v>359</v>
      </c>
      <c r="O6" s="264" t="s">
        <v>177</v>
      </c>
      <c r="P6" s="265" t="s">
        <v>178</v>
      </c>
      <c r="Q6" s="266" t="s">
        <v>179</v>
      </c>
      <c r="R6" s="223" t="s">
        <v>180</v>
      </c>
      <c r="S6" s="96" t="s">
        <v>181</v>
      </c>
      <c r="T6" s="89" t="s">
        <v>182</v>
      </c>
      <c r="U6" s="89" t="s">
        <v>183</v>
      </c>
      <c r="V6" s="89" t="s">
        <v>184</v>
      </c>
      <c r="W6" s="89" t="s">
        <v>185</v>
      </c>
      <c r="X6" s="89" t="s">
        <v>186</v>
      </c>
      <c r="Y6" s="89" t="s">
        <v>187</v>
      </c>
      <c r="Z6" s="89" t="s">
        <v>188</v>
      </c>
      <c r="AA6" s="89" t="s">
        <v>189</v>
      </c>
      <c r="AB6" s="89" t="s">
        <v>190</v>
      </c>
      <c r="AC6" s="89" t="s">
        <v>191</v>
      </c>
      <c r="AD6" s="89" t="s">
        <v>192</v>
      </c>
      <c r="AE6" s="89" t="s">
        <v>193</v>
      </c>
      <c r="AF6" s="89" t="s">
        <v>194</v>
      </c>
      <c r="AG6" s="89" t="s">
        <v>195</v>
      </c>
      <c r="AH6" s="89" t="s">
        <v>196</v>
      </c>
      <c r="AI6" s="89" t="s">
        <v>197</v>
      </c>
      <c r="AJ6" s="89" t="s">
        <v>198</v>
      </c>
      <c r="AK6" s="89" t="s">
        <v>199</v>
      </c>
      <c r="AL6" s="89" t="s">
        <v>200</v>
      </c>
      <c r="AM6" s="89" t="s">
        <v>201</v>
      </c>
      <c r="AN6" s="89" t="s">
        <v>202</v>
      </c>
      <c r="AO6" s="89" t="s">
        <v>203</v>
      </c>
      <c r="AP6" s="89" t="s">
        <v>204</v>
      </c>
      <c r="AQ6" s="89" t="s">
        <v>205</v>
      </c>
      <c r="AR6" s="89" t="s">
        <v>206</v>
      </c>
      <c r="AS6" s="89" t="s">
        <v>207</v>
      </c>
      <c r="AT6" s="89" t="s">
        <v>208</v>
      </c>
      <c r="AU6" s="90" t="s">
        <v>209</v>
      </c>
    </row>
    <row r="7" spans="1:47" ht="32.25" thickBot="1">
      <c r="A7" s="212" t="str">
        <f>IF(AND(F7="B",IF(OR(G7="LD",G7="LDU",G7="ADD",G7="SUB",G7="AND",G7="OR",G7="XOR"),1,0)),CONCATENATE(G7,"#"),G7)</f>
        <v>NOP</v>
      </c>
      <c r="B7" s="89" t="s">
        <v>213</v>
      </c>
      <c r="C7" s="90" t="s">
        <v>348</v>
      </c>
      <c r="D7" s="202" t="str">
        <f t="shared" ref="D7" si="0">IF(F7="A",CONCATENATE(F7," ",G7," R",H7,",R",I7,",",J7),IF(F7="B",CONCATENATE(F7," ",G7," R",H7,",R",I7,",",K7),CONCATENATE(F7," ",G7," ",K7)))</f>
        <v>A NOP R0,R0,0</v>
      </c>
      <c r="E7" s="203"/>
      <c r="F7" s="211" t="s">
        <v>212</v>
      </c>
      <c r="G7" s="211" t="s">
        <v>67</v>
      </c>
      <c r="H7" s="205">
        <v>0</v>
      </c>
      <c r="I7" s="205">
        <v>0</v>
      </c>
      <c r="J7" s="205">
        <v>0</v>
      </c>
      <c r="K7" s="206" t="s">
        <v>213</v>
      </c>
      <c r="L7" s="206" t="s">
        <v>213</v>
      </c>
      <c r="M7" s="268">
        <v>0</v>
      </c>
      <c r="N7" s="204"/>
      <c r="O7" s="269">
        <v>0</v>
      </c>
      <c r="P7" s="269"/>
      <c r="Q7" s="250"/>
      <c r="R7" s="27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U7"/>
  <sheetViews>
    <sheetView zoomScaleNormal="100" workbookViewId="0">
      <selection activeCell="A2" sqref="A2"/>
    </sheetView>
  </sheetViews>
  <sheetFormatPr defaultColWidth="8.25" defaultRowHeight="15.75"/>
  <cols>
    <col min="1" max="1" width="8.25" style="99"/>
    <col min="2" max="2" width="13.125" style="99" bestFit="1" customWidth="1"/>
    <col min="3" max="3" width="10.375" style="99" bestFit="1" customWidth="1"/>
    <col min="4" max="4" width="13" style="99" customWidth="1"/>
    <col min="5" max="5" width="16.875" style="99" bestFit="1" customWidth="1"/>
    <col min="6" max="6" width="7.5" style="99" bestFit="1" customWidth="1"/>
    <col min="7" max="7" width="8" style="99" bestFit="1" customWidth="1"/>
    <col min="8" max="8" width="11.125" style="99" bestFit="1" customWidth="1"/>
    <col min="9" max="10" width="8.125" style="99" bestFit="1" customWidth="1"/>
    <col min="11" max="12" width="16.75" style="99" bestFit="1" customWidth="1"/>
    <col min="13" max="14" width="8.25" style="99"/>
    <col min="15" max="15" width="17.375" style="99" customWidth="1"/>
    <col min="16" max="16384" width="8.25" style="99"/>
  </cols>
  <sheetData>
    <row r="1" spans="1:47" ht="31.5">
      <c r="A1" s="19" t="s">
        <v>414</v>
      </c>
      <c r="B1" s="19"/>
      <c r="C1" s="19"/>
      <c r="D1" s="98"/>
      <c r="E1" s="19" t="s">
        <v>347</v>
      </c>
      <c r="F1" s="19"/>
      <c r="G1" s="19"/>
      <c r="H1" s="20"/>
      <c r="I1" s="20"/>
      <c r="J1" s="20"/>
      <c r="K1" s="20"/>
      <c r="L1" s="20"/>
      <c r="M1" s="21"/>
      <c r="N1" s="21"/>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row>
    <row r="2" spans="1:47" ht="126">
      <c r="A2" s="336" t="s">
        <v>415</v>
      </c>
      <c r="B2" s="19"/>
      <c r="C2" s="19"/>
      <c r="D2" s="98"/>
      <c r="E2" s="19" t="s">
        <v>336</v>
      </c>
      <c r="F2" s="19" t="s">
        <v>337</v>
      </c>
      <c r="G2" s="19" t="s">
        <v>338</v>
      </c>
      <c r="H2" s="19" t="s">
        <v>339</v>
      </c>
      <c r="I2" s="20" t="s">
        <v>340</v>
      </c>
      <c r="J2" s="20" t="s">
        <v>341</v>
      </c>
      <c r="K2" s="20"/>
      <c r="L2" s="20"/>
      <c r="M2" s="21"/>
      <c r="N2" s="21"/>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row>
    <row r="3" spans="1:47" ht="31.5">
      <c r="A3" s="19"/>
      <c r="B3" s="19"/>
      <c r="C3" s="19"/>
      <c r="D3" s="98"/>
      <c r="E3" s="19" t="s">
        <v>342</v>
      </c>
      <c r="F3" s="19" t="s">
        <v>337</v>
      </c>
      <c r="G3" s="19" t="s">
        <v>338</v>
      </c>
      <c r="H3" s="19" t="s">
        <v>339</v>
      </c>
      <c r="I3" s="20" t="s">
        <v>343</v>
      </c>
      <c r="J3" s="20" t="s">
        <v>344</v>
      </c>
      <c r="K3" s="20" t="s">
        <v>345</v>
      </c>
      <c r="L3" s="20"/>
      <c r="M3" s="21"/>
      <c r="N3" s="21"/>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row>
    <row r="4" spans="1:47">
      <c r="A4" s="19"/>
      <c r="B4" s="19"/>
      <c r="C4" s="19"/>
      <c r="D4" s="98"/>
      <c r="E4" s="19" t="s">
        <v>346</v>
      </c>
      <c r="F4" s="19" t="s">
        <v>337</v>
      </c>
      <c r="G4" s="19" t="s">
        <v>338</v>
      </c>
      <c r="H4" s="19"/>
      <c r="I4" s="20"/>
      <c r="J4" s="20"/>
      <c r="K4" s="20" t="s">
        <v>345</v>
      </c>
      <c r="L4" s="20"/>
      <c r="M4" s="21"/>
      <c r="N4" s="21"/>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row>
    <row r="5" spans="1:47" ht="48" thickBot="1">
      <c r="A5" s="19"/>
      <c r="B5" s="19"/>
      <c r="C5" s="19"/>
      <c r="D5" s="98"/>
      <c r="E5" s="98"/>
      <c r="F5" s="19"/>
      <c r="G5" s="19"/>
      <c r="H5" s="20"/>
      <c r="I5" s="20"/>
      <c r="J5" s="20"/>
      <c r="K5" s="20" t="str">
        <f>"-"&amp;2^15&amp;"&lt;VAL&lt;"&amp;2^16</f>
        <v>-32768&lt;VAL&lt;65536</v>
      </c>
      <c r="L5" s="20" t="str">
        <f>"-"&amp;2^15&amp;"&lt;VAL&lt;"&amp;2^16</f>
        <v>-32768&lt;VAL&lt;65536</v>
      </c>
      <c r="O5" s="21" t="s">
        <v>350</v>
      </c>
      <c r="P5" s="19" t="s">
        <v>408</v>
      </c>
      <c r="Q5" s="19" t="s">
        <v>410</v>
      </c>
      <c r="R5" s="19" t="s">
        <v>409</v>
      </c>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row>
    <row r="6" spans="1:47" ht="48" thickBot="1">
      <c r="A6" s="294" t="s">
        <v>166</v>
      </c>
      <c r="B6" s="295" t="s">
        <v>167</v>
      </c>
      <c r="C6" s="296" t="s">
        <v>168</v>
      </c>
      <c r="D6" s="227" t="s">
        <v>169</v>
      </c>
      <c r="E6" s="233" t="s">
        <v>170</v>
      </c>
      <c r="F6" s="233" t="s">
        <v>171</v>
      </c>
      <c r="G6" s="297" t="s">
        <v>166</v>
      </c>
      <c r="H6" s="231" t="s">
        <v>172</v>
      </c>
      <c r="I6" s="231" t="s">
        <v>173</v>
      </c>
      <c r="J6" s="231" t="s">
        <v>174</v>
      </c>
      <c r="K6" s="231" t="s">
        <v>175</v>
      </c>
      <c r="L6" s="231" t="s">
        <v>349</v>
      </c>
      <c r="M6" s="298" t="s">
        <v>176</v>
      </c>
      <c r="N6" s="298" t="s">
        <v>359</v>
      </c>
      <c r="O6" s="264" t="s">
        <v>177</v>
      </c>
      <c r="P6" s="265" t="s">
        <v>178</v>
      </c>
      <c r="Q6" s="266" t="s">
        <v>179</v>
      </c>
      <c r="R6" s="223" t="s">
        <v>180</v>
      </c>
      <c r="S6" s="96" t="s">
        <v>181</v>
      </c>
      <c r="T6" s="89" t="s">
        <v>182</v>
      </c>
      <c r="U6" s="89" t="s">
        <v>183</v>
      </c>
      <c r="V6" s="89" t="s">
        <v>184</v>
      </c>
      <c r="W6" s="89" t="s">
        <v>185</v>
      </c>
      <c r="X6" s="89" t="s">
        <v>186</v>
      </c>
      <c r="Y6" s="89" t="s">
        <v>187</v>
      </c>
      <c r="Z6" s="89" t="s">
        <v>188</v>
      </c>
      <c r="AA6" s="89" t="s">
        <v>189</v>
      </c>
      <c r="AB6" s="89" t="s">
        <v>190</v>
      </c>
      <c r="AC6" s="89" t="s">
        <v>191</v>
      </c>
      <c r="AD6" s="89" t="s">
        <v>192</v>
      </c>
      <c r="AE6" s="89" t="s">
        <v>193</v>
      </c>
      <c r="AF6" s="89" t="s">
        <v>194</v>
      </c>
      <c r="AG6" s="89" t="s">
        <v>195</v>
      </c>
      <c r="AH6" s="89" t="s">
        <v>196</v>
      </c>
      <c r="AI6" s="89" t="s">
        <v>197</v>
      </c>
      <c r="AJ6" s="89" t="s">
        <v>198</v>
      </c>
      <c r="AK6" s="89" t="s">
        <v>199</v>
      </c>
      <c r="AL6" s="89" t="s">
        <v>200</v>
      </c>
      <c r="AM6" s="89" t="s">
        <v>201</v>
      </c>
      <c r="AN6" s="89" t="s">
        <v>202</v>
      </c>
      <c r="AO6" s="89" t="s">
        <v>203</v>
      </c>
      <c r="AP6" s="89" t="s">
        <v>204</v>
      </c>
      <c r="AQ6" s="89" t="s">
        <v>205</v>
      </c>
      <c r="AR6" s="89" t="s">
        <v>206</v>
      </c>
      <c r="AS6" s="89" t="s">
        <v>207</v>
      </c>
      <c r="AT6" s="89" t="s">
        <v>208</v>
      </c>
      <c r="AU6" s="90" t="s">
        <v>209</v>
      </c>
    </row>
    <row r="7" spans="1:47" ht="32.25" thickBot="1">
      <c r="A7" s="212" t="str">
        <f>IF(AND(F7="B",IF(OR(G7="LD",G7="LDU",G7="ADD",G7="SUB",G7="AND",G7="OR",G7="XOR"),1,0)),CONCATENATE(G7,"#"),G7)</f>
        <v>NOP</v>
      </c>
      <c r="B7" s="89" t="s">
        <v>213</v>
      </c>
      <c r="C7" s="90" t="s">
        <v>348</v>
      </c>
      <c r="D7" s="202" t="str">
        <f t="shared" ref="D7" si="0">IF(F7="A",CONCATENATE(F7," ",G7," R",H7,",R",I7,",",J7),IF(F7="B",CONCATENATE(F7," ",G7," R",H7,",R",I7,",",K7),CONCATENATE(F7," ",G7," ",K7)))</f>
        <v>A NOP R0,R0,0</v>
      </c>
      <c r="E7" s="203"/>
      <c r="F7" s="211" t="s">
        <v>212</v>
      </c>
      <c r="G7" s="211" t="s">
        <v>67</v>
      </c>
      <c r="H7" s="205">
        <v>0</v>
      </c>
      <c r="I7" s="205">
        <v>0</v>
      </c>
      <c r="J7" s="205">
        <v>0</v>
      </c>
      <c r="K7" s="206" t="s">
        <v>213</v>
      </c>
      <c r="L7" s="206" t="s">
        <v>213</v>
      </c>
      <c r="M7" s="268">
        <v>0</v>
      </c>
      <c r="N7" s="204"/>
      <c r="O7" s="269">
        <v>0</v>
      </c>
      <c r="P7" s="269"/>
      <c r="Q7" s="250"/>
      <c r="R7" s="27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P3"/>
  <sheetViews>
    <sheetView zoomScale="145" zoomScaleNormal="145" workbookViewId="0">
      <selection activeCell="A2" sqref="A2"/>
    </sheetView>
  </sheetViews>
  <sheetFormatPr defaultRowHeight="15.75"/>
  <cols>
    <col min="1" max="1" width="12.5" style="47" bestFit="1" customWidth="1"/>
    <col min="2" max="2" width="13.125" style="47" bestFit="1" customWidth="1"/>
    <col min="3" max="3" width="13.125" style="47" customWidth="1"/>
    <col min="4" max="4" width="9" style="47"/>
    <col min="5" max="5" width="21.75" style="47" bestFit="1" customWidth="1"/>
    <col min="6" max="16384" width="9" style="47"/>
  </cols>
  <sheetData>
    <row r="1" spans="1:68" ht="16.5" thickBot="1">
      <c r="A1" s="47" t="s">
        <v>498</v>
      </c>
      <c r="E1" s="79" t="s">
        <v>432</v>
      </c>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row>
    <row r="2" spans="1:68" ht="16.5" thickBot="1">
      <c r="A2" s="394" t="s">
        <v>166</v>
      </c>
      <c r="B2" s="394" t="s">
        <v>167</v>
      </c>
      <c r="C2" s="394" t="s">
        <v>418</v>
      </c>
      <c r="D2" s="394" t="s">
        <v>176</v>
      </c>
      <c r="E2" s="88" t="s">
        <v>177</v>
      </c>
      <c r="F2" s="89" t="s">
        <v>178</v>
      </c>
      <c r="G2" s="89" t="s">
        <v>179</v>
      </c>
      <c r="H2" s="89" t="s">
        <v>180</v>
      </c>
      <c r="I2" s="89" t="s">
        <v>181</v>
      </c>
      <c r="J2" s="89" t="s">
        <v>182</v>
      </c>
      <c r="K2" s="89" t="s">
        <v>183</v>
      </c>
      <c r="L2" s="89" t="s">
        <v>184</v>
      </c>
      <c r="M2" s="89" t="s">
        <v>185</v>
      </c>
      <c r="N2" s="89" t="s">
        <v>186</v>
      </c>
      <c r="O2" s="89" t="s">
        <v>187</v>
      </c>
      <c r="P2" s="89" t="s">
        <v>188</v>
      </c>
      <c r="Q2" s="89" t="s">
        <v>189</v>
      </c>
      <c r="R2" s="89" t="s">
        <v>190</v>
      </c>
      <c r="S2" s="89" t="s">
        <v>191</v>
      </c>
      <c r="T2" s="89" t="s">
        <v>192</v>
      </c>
      <c r="U2" s="89" t="s">
        <v>193</v>
      </c>
      <c r="V2" s="89" t="s">
        <v>194</v>
      </c>
      <c r="W2" s="89" t="s">
        <v>195</v>
      </c>
      <c r="X2" s="89" t="s">
        <v>196</v>
      </c>
      <c r="Y2" s="89" t="s">
        <v>197</v>
      </c>
      <c r="Z2" s="89" t="s">
        <v>198</v>
      </c>
      <c r="AA2" s="89" t="s">
        <v>199</v>
      </c>
      <c r="AB2" s="89" t="s">
        <v>200</v>
      </c>
      <c r="AC2" s="89" t="s">
        <v>201</v>
      </c>
      <c r="AD2" s="89" t="s">
        <v>202</v>
      </c>
      <c r="AE2" s="89" t="s">
        <v>203</v>
      </c>
      <c r="AF2" s="89" t="s">
        <v>204</v>
      </c>
      <c r="AG2" s="89" t="s">
        <v>205</v>
      </c>
      <c r="AH2" s="89" t="s">
        <v>206</v>
      </c>
      <c r="AI2" s="89" t="s">
        <v>207</v>
      </c>
      <c r="AJ2" s="90" t="s">
        <v>208</v>
      </c>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row>
    <row r="3" spans="1:68">
      <c r="AK3" s="337"/>
      <c r="AL3" s="337"/>
      <c r="AM3" s="337"/>
      <c r="AN3" s="337"/>
      <c r="AO3" s="337"/>
      <c r="AP3" s="337"/>
      <c r="AQ3" s="337"/>
      <c r="AR3" s="337"/>
      <c r="AS3" s="337"/>
      <c r="AT3" s="337"/>
      <c r="AU3" s="337"/>
      <c r="AV3" s="337"/>
      <c r="AW3" s="337"/>
      <c r="AX3" s="337"/>
      <c r="AY3" s="337"/>
      <c r="AZ3" s="337"/>
      <c r="BA3" s="337"/>
      <c r="BB3" s="337"/>
      <c r="BC3" s="337"/>
      <c r="BD3" s="337"/>
      <c r="BE3" s="337"/>
      <c r="BF3" s="337"/>
      <c r="BG3" s="337"/>
      <c r="BH3" s="337"/>
      <c r="BI3" s="337"/>
      <c r="BJ3" s="337"/>
      <c r="BK3" s="337"/>
      <c r="BL3" s="337"/>
      <c r="BM3" s="337"/>
      <c r="BN3" s="337"/>
      <c r="BO3" s="337"/>
      <c r="BP3" s="33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B103"/>
  <sheetViews>
    <sheetView zoomScale="145" zoomScaleNormal="145" workbookViewId="0"/>
  </sheetViews>
  <sheetFormatPr defaultRowHeight="15.75"/>
  <cols>
    <col min="1" max="1" width="9" style="47"/>
    <col min="2" max="2" width="13.125" style="47" bestFit="1" customWidth="1"/>
    <col min="3" max="4" width="9" style="47"/>
    <col min="5" max="5" width="21.75" bestFit="1" customWidth="1"/>
    <col min="6" max="6" width="11.625" bestFit="1" customWidth="1"/>
    <col min="7" max="7" width="19.5" bestFit="1" customWidth="1"/>
    <col min="69" max="69" width="11.625" bestFit="1" customWidth="1"/>
  </cols>
  <sheetData>
    <row r="1" spans="1:132" s="47" customFormat="1">
      <c r="A1" s="47" t="s">
        <v>431</v>
      </c>
    </row>
    <row r="2" spans="1:132" ht="16.5" thickBot="1">
      <c r="E2" s="398" t="s">
        <v>499</v>
      </c>
      <c r="F2" s="79" t="s">
        <v>500</v>
      </c>
      <c r="G2" s="16" t="s">
        <v>433</v>
      </c>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395" t="s">
        <v>500</v>
      </c>
    </row>
    <row r="3" spans="1:132" ht="17.25" thickTop="1" thickBot="1">
      <c r="A3" s="394" t="s">
        <v>166</v>
      </c>
      <c r="B3" s="394" t="s">
        <v>167</v>
      </c>
      <c r="C3" s="394" t="s">
        <v>418</v>
      </c>
      <c r="D3" s="394" t="s">
        <v>176</v>
      </c>
      <c r="E3" s="399" t="s">
        <v>177</v>
      </c>
      <c r="F3" s="22" t="s">
        <v>178</v>
      </c>
      <c r="G3" s="22" t="s">
        <v>179</v>
      </c>
      <c r="H3" s="22" t="s">
        <v>180</v>
      </c>
      <c r="I3" s="22" t="s">
        <v>181</v>
      </c>
      <c r="J3" s="22" t="s">
        <v>182</v>
      </c>
      <c r="K3" s="22" t="s">
        <v>183</v>
      </c>
      <c r="L3" s="22" t="s">
        <v>184</v>
      </c>
      <c r="M3" s="22" t="s">
        <v>185</v>
      </c>
      <c r="N3" s="22" t="s">
        <v>186</v>
      </c>
      <c r="O3" s="22" t="s">
        <v>187</v>
      </c>
      <c r="P3" s="22" t="s">
        <v>188</v>
      </c>
      <c r="Q3" s="22" t="s">
        <v>189</v>
      </c>
      <c r="R3" s="22" t="s">
        <v>190</v>
      </c>
      <c r="S3" s="22" t="s">
        <v>191</v>
      </c>
      <c r="T3" s="22" t="s">
        <v>192</v>
      </c>
      <c r="U3" s="22" t="s">
        <v>193</v>
      </c>
      <c r="V3" s="22" t="s">
        <v>194</v>
      </c>
      <c r="W3" s="22" t="s">
        <v>195</v>
      </c>
      <c r="X3" s="22" t="s">
        <v>196</v>
      </c>
      <c r="Y3" s="22" t="s">
        <v>197</v>
      </c>
      <c r="Z3" s="22" t="s">
        <v>198</v>
      </c>
      <c r="AA3" s="22" t="s">
        <v>199</v>
      </c>
      <c r="AB3" s="22" t="s">
        <v>200</v>
      </c>
      <c r="AC3" s="22" t="s">
        <v>201</v>
      </c>
      <c r="AD3" s="22" t="s">
        <v>202</v>
      </c>
      <c r="AE3" s="22" t="s">
        <v>203</v>
      </c>
      <c r="AF3" s="22" t="s">
        <v>204</v>
      </c>
      <c r="AG3" s="22" t="s">
        <v>205</v>
      </c>
      <c r="AH3" s="22" t="s">
        <v>206</v>
      </c>
      <c r="AI3" s="22" t="s">
        <v>207</v>
      </c>
      <c r="AJ3" s="22" t="s">
        <v>208</v>
      </c>
      <c r="AK3" s="22" t="s">
        <v>209</v>
      </c>
      <c r="AL3" s="22" t="s">
        <v>303</v>
      </c>
      <c r="AM3" s="22" t="s">
        <v>304</v>
      </c>
      <c r="AN3" s="22" t="s">
        <v>305</v>
      </c>
      <c r="AO3" s="22" t="s">
        <v>306</v>
      </c>
      <c r="AP3" s="22" t="s">
        <v>307</v>
      </c>
      <c r="AQ3" s="22" t="s">
        <v>308</v>
      </c>
      <c r="AR3" s="22" t="s">
        <v>309</v>
      </c>
      <c r="AS3" s="22" t="s">
        <v>310</v>
      </c>
      <c r="AT3" s="22" t="s">
        <v>311</v>
      </c>
      <c r="AU3" s="22" t="s">
        <v>312</v>
      </c>
      <c r="AV3" s="22" t="s">
        <v>313</v>
      </c>
      <c r="AW3" s="22" t="s">
        <v>314</v>
      </c>
      <c r="AX3" s="22" t="s">
        <v>315</v>
      </c>
      <c r="AY3" s="22" t="s">
        <v>316</v>
      </c>
      <c r="AZ3" s="22" t="s">
        <v>317</v>
      </c>
      <c r="BA3" s="22" t="s">
        <v>318</v>
      </c>
      <c r="BB3" s="22" t="s">
        <v>319</v>
      </c>
      <c r="BC3" s="22" t="s">
        <v>320</v>
      </c>
      <c r="BD3" s="22" t="s">
        <v>321</v>
      </c>
      <c r="BE3" s="22" t="s">
        <v>322</v>
      </c>
      <c r="BF3" s="22" t="s">
        <v>323</v>
      </c>
      <c r="BG3" s="22" t="s">
        <v>324</v>
      </c>
      <c r="BH3" s="22" t="s">
        <v>325</v>
      </c>
      <c r="BI3" s="22" t="s">
        <v>326</v>
      </c>
      <c r="BJ3" s="22" t="s">
        <v>327</v>
      </c>
      <c r="BK3" s="22" t="s">
        <v>328</v>
      </c>
      <c r="BL3" s="22" t="s">
        <v>329</v>
      </c>
      <c r="BM3" s="22" t="s">
        <v>330</v>
      </c>
      <c r="BN3" s="22" t="s">
        <v>331</v>
      </c>
      <c r="BO3" s="45" t="s">
        <v>332</v>
      </c>
      <c r="BP3" s="22" t="s">
        <v>333</v>
      </c>
      <c r="BQ3" s="396" t="s">
        <v>434</v>
      </c>
      <c r="BR3" s="22" t="s">
        <v>435</v>
      </c>
      <c r="BS3" s="22" t="s">
        <v>436</v>
      </c>
      <c r="BT3" s="22" t="s">
        <v>437</v>
      </c>
      <c r="BU3" s="22" t="s">
        <v>438</v>
      </c>
      <c r="BV3" s="22" t="s">
        <v>439</v>
      </c>
      <c r="BW3" s="22" t="s">
        <v>440</v>
      </c>
      <c r="BX3" s="22" t="s">
        <v>441</v>
      </c>
      <c r="BY3" s="22" t="s">
        <v>442</v>
      </c>
      <c r="BZ3" s="22" t="s">
        <v>443</v>
      </c>
      <c r="CA3" s="22" t="s">
        <v>444</v>
      </c>
      <c r="CB3" s="22" t="s">
        <v>445</v>
      </c>
      <c r="CC3" s="22" t="s">
        <v>446</v>
      </c>
      <c r="CD3" s="22" t="s">
        <v>447</v>
      </c>
      <c r="CE3" s="22" t="s">
        <v>448</v>
      </c>
      <c r="CF3" s="22" t="s">
        <v>449</v>
      </c>
      <c r="CG3" s="22" t="s">
        <v>450</v>
      </c>
      <c r="CH3" s="22" t="s">
        <v>451</v>
      </c>
      <c r="CI3" s="22" t="s">
        <v>452</v>
      </c>
      <c r="CJ3" s="22" t="s">
        <v>453</v>
      </c>
      <c r="CK3" s="22" t="s">
        <v>454</v>
      </c>
      <c r="CL3" s="22" t="s">
        <v>455</v>
      </c>
      <c r="CM3" s="22" t="s">
        <v>456</v>
      </c>
      <c r="CN3" s="22" t="s">
        <v>457</v>
      </c>
      <c r="CO3" s="22" t="s">
        <v>458</v>
      </c>
      <c r="CP3" s="22" t="s">
        <v>459</v>
      </c>
      <c r="CQ3" s="22" t="s">
        <v>460</v>
      </c>
      <c r="CR3" s="22" t="s">
        <v>461</v>
      </c>
      <c r="CS3" s="22" t="s">
        <v>462</v>
      </c>
      <c r="CT3" s="22" t="s">
        <v>463</v>
      </c>
      <c r="CU3" s="22" t="s">
        <v>464</v>
      </c>
      <c r="CV3" s="22" t="s">
        <v>465</v>
      </c>
      <c r="CW3" s="22" t="s">
        <v>466</v>
      </c>
      <c r="CX3" s="22" t="s">
        <v>467</v>
      </c>
      <c r="CY3" s="22" t="s">
        <v>468</v>
      </c>
      <c r="CZ3" s="22" t="s">
        <v>469</v>
      </c>
      <c r="DA3" s="22" t="s">
        <v>470</v>
      </c>
      <c r="DB3" s="22" t="s">
        <v>471</v>
      </c>
      <c r="DC3" s="22" t="s">
        <v>472</v>
      </c>
      <c r="DD3" s="22" t="s">
        <v>473</v>
      </c>
      <c r="DE3" s="22" t="s">
        <v>474</v>
      </c>
      <c r="DF3" s="22" t="s">
        <v>475</v>
      </c>
      <c r="DG3" s="22" t="s">
        <v>476</v>
      </c>
      <c r="DH3" s="22" t="s">
        <v>477</v>
      </c>
      <c r="DI3" s="22" t="s">
        <v>478</v>
      </c>
      <c r="DJ3" s="22" t="s">
        <v>479</v>
      </c>
      <c r="DK3" s="22" t="s">
        <v>480</v>
      </c>
      <c r="DL3" s="22" t="s">
        <v>481</v>
      </c>
      <c r="DM3" s="22" t="s">
        <v>482</v>
      </c>
      <c r="DN3" s="22" t="s">
        <v>483</v>
      </c>
      <c r="DO3" s="22" t="s">
        <v>484</v>
      </c>
      <c r="DP3" s="22" t="s">
        <v>485</v>
      </c>
      <c r="DQ3" s="22" t="s">
        <v>486</v>
      </c>
      <c r="DR3" s="22" t="s">
        <v>487</v>
      </c>
      <c r="DS3" s="22" t="s">
        <v>488</v>
      </c>
      <c r="DT3" s="22" t="s">
        <v>489</v>
      </c>
      <c r="DU3" s="22" t="s">
        <v>490</v>
      </c>
      <c r="DV3" s="22" t="s">
        <v>491</v>
      </c>
      <c r="DW3" s="22" t="s">
        <v>492</v>
      </c>
      <c r="DX3" s="22" t="s">
        <v>493</v>
      </c>
      <c r="DY3" s="22" t="s">
        <v>494</v>
      </c>
      <c r="DZ3" s="22" t="s">
        <v>495</v>
      </c>
      <c r="EA3" s="22" t="s">
        <v>496</v>
      </c>
      <c r="EB3" s="22" t="s">
        <v>497</v>
      </c>
    </row>
    <row r="4" spans="1:132" ht="16.5" thickTop="1">
      <c r="E4" s="400"/>
      <c r="BQ4" s="397"/>
    </row>
    <row r="5" spans="1:132">
      <c r="E5" s="400"/>
      <c r="BQ5" s="397"/>
    </row>
    <row r="6" spans="1:132">
      <c r="E6" s="400"/>
      <c r="BQ6" s="397"/>
    </row>
    <row r="7" spans="1:132">
      <c r="E7" s="400"/>
      <c r="BQ7" s="397"/>
    </row>
    <row r="8" spans="1:132">
      <c r="E8" s="400"/>
      <c r="BQ8" s="397"/>
    </row>
    <row r="9" spans="1:132">
      <c r="E9" s="400"/>
      <c r="BQ9" s="397"/>
    </row>
    <row r="10" spans="1:132">
      <c r="E10" s="400"/>
      <c r="BQ10" s="397"/>
    </row>
    <row r="11" spans="1:132">
      <c r="E11" s="400"/>
      <c r="BQ11" s="397"/>
    </row>
    <row r="12" spans="1:132">
      <c r="E12" s="400"/>
      <c r="BQ12" s="397"/>
    </row>
    <row r="13" spans="1:132">
      <c r="E13" s="400"/>
      <c r="BQ13" s="397"/>
    </row>
    <row r="14" spans="1:132">
      <c r="E14" s="400"/>
      <c r="BQ14" s="397"/>
    </row>
    <row r="15" spans="1:132">
      <c r="E15" s="400"/>
      <c r="BQ15" s="397"/>
    </row>
    <row r="16" spans="1:132">
      <c r="E16" s="400"/>
      <c r="BQ16" s="397"/>
    </row>
    <row r="17" spans="5:69">
      <c r="E17" s="400"/>
      <c r="BQ17" s="397"/>
    </row>
    <row r="18" spans="5:69">
      <c r="E18" s="400"/>
      <c r="BQ18" s="397"/>
    </row>
    <row r="19" spans="5:69">
      <c r="E19" s="400"/>
      <c r="BQ19" s="397"/>
    </row>
    <row r="20" spans="5:69">
      <c r="E20" s="400"/>
      <c r="BQ20" s="397"/>
    </row>
    <row r="21" spans="5:69">
      <c r="E21" s="400"/>
      <c r="BQ21" s="397"/>
    </row>
    <row r="22" spans="5:69">
      <c r="E22" s="400"/>
      <c r="BQ22" s="397"/>
    </row>
    <row r="23" spans="5:69">
      <c r="E23" s="400"/>
      <c r="BQ23" s="397"/>
    </row>
    <row r="24" spans="5:69">
      <c r="E24" s="400"/>
      <c r="BQ24" s="397"/>
    </row>
    <row r="25" spans="5:69">
      <c r="E25" s="400"/>
      <c r="BQ25" s="397"/>
    </row>
    <row r="26" spans="5:69">
      <c r="E26" s="400"/>
      <c r="BQ26" s="397"/>
    </row>
    <row r="27" spans="5:69">
      <c r="E27" s="400"/>
      <c r="BQ27" s="397"/>
    </row>
    <row r="28" spans="5:69">
      <c r="E28" s="400"/>
      <c r="BQ28" s="397"/>
    </row>
    <row r="29" spans="5:69">
      <c r="E29" s="400"/>
      <c r="BQ29" s="397"/>
    </row>
    <row r="30" spans="5:69">
      <c r="E30" s="400"/>
      <c r="BQ30" s="397"/>
    </row>
    <row r="31" spans="5:69">
      <c r="E31" s="400"/>
      <c r="BQ31" s="397"/>
    </row>
    <row r="32" spans="5:69">
      <c r="E32" s="400"/>
      <c r="BQ32" s="397"/>
    </row>
    <row r="33" spans="5:69">
      <c r="E33" s="400"/>
      <c r="BQ33" s="397"/>
    </row>
    <row r="34" spans="5:69">
      <c r="E34" s="400"/>
      <c r="BQ34" s="397"/>
    </row>
    <row r="35" spans="5:69">
      <c r="E35" s="400"/>
      <c r="BQ35" s="397"/>
    </row>
    <row r="36" spans="5:69">
      <c r="E36" s="400"/>
      <c r="BQ36" s="397"/>
    </row>
    <row r="37" spans="5:69">
      <c r="E37" s="400"/>
      <c r="BQ37" s="397"/>
    </row>
    <row r="38" spans="5:69">
      <c r="E38" s="400"/>
      <c r="BQ38" s="397"/>
    </row>
    <row r="39" spans="5:69">
      <c r="E39" s="400"/>
      <c r="BQ39" s="397"/>
    </row>
    <row r="40" spans="5:69">
      <c r="E40" s="400"/>
      <c r="BQ40" s="397"/>
    </row>
    <row r="41" spans="5:69">
      <c r="E41" s="400"/>
      <c r="BQ41" s="397"/>
    </row>
    <row r="42" spans="5:69">
      <c r="E42" s="400"/>
      <c r="BQ42" s="397"/>
    </row>
    <row r="43" spans="5:69">
      <c r="E43" s="400"/>
      <c r="BQ43" s="397"/>
    </row>
    <row r="44" spans="5:69">
      <c r="E44" s="400"/>
      <c r="BQ44" s="397"/>
    </row>
    <row r="45" spans="5:69">
      <c r="E45" s="400"/>
      <c r="BQ45" s="397"/>
    </row>
    <row r="46" spans="5:69">
      <c r="E46" s="400"/>
      <c r="BQ46" s="397"/>
    </row>
    <row r="47" spans="5:69">
      <c r="E47" s="400"/>
      <c r="BQ47" s="397"/>
    </row>
    <row r="48" spans="5:69">
      <c r="E48" s="400"/>
      <c r="BQ48" s="397"/>
    </row>
    <row r="49" spans="5:69">
      <c r="E49" s="400"/>
      <c r="BQ49" s="397"/>
    </row>
    <row r="50" spans="5:69">
      <c r="E50" s="400"/>
      <c r="BQ50" s="397"/>
    </row>
    <row r="51" spans="5:69">
      <c r="E51" s="400"/>
      <c r="BQ51" s="397"/>
    </row>
    <row r="52" spans="5:69">
      <c r="E52" s="400"/>
      <c r="BQ52" s="397"/>
    </row>
    <row r="53" spans="5:69">
      <c r="E53" s="400"/>
      <c r="BQ53" s="397"/>
    </row>
    <row r="54" spans="5:69">
      <c r="E54" s="400"/>
      <c r="BQ54" s="397"/>
    </row>
    <row r="55" spans="5:69">
      <c r="E55" s="400"/>
      <c r="BQ55" s="397"/>
    </row>
    <row r="56" spans="5:69">
      <c r="E56" s="400"/>
      <c r="BQ56" s="397"/>
    </row>
    <row r="57" spans="5:69">
      <c r="E57" s="400"/>
      <c r="BQ57" s="397"/>
    </row>
    <row r="58" spans="5:69">
      <c r="E58" s="400"/>
      <c r="BQ58" s="397"/>
    </row>
    <row r="59" spans="5:69">
      <c r="E59" s="400"/>
      <c r="BQ59" s="397"/>
    </row>
    <row r="60" spans="5:69">
      <c r="E60" s="400"/>
      <c r="BQ60" s="397"/>
    </row>
    <row r="61" spans="5:69">
      <c r="E61" s="400"/>
      <c r="BQ61" s="397"/>
    </row>
    <row r="62" spans="5:69">
      <c r="E62" s="400"/>
      <c r="BQ62" s="397"/>
    </row>
    <row r="63" spans="5:69">
      <c r="E63" s="400"/>
      <c r="BQ63" s="397"/>
    </row>
    <row r="64" spans="5:69">
      <c r="E64" s="400"/>
      <c r="BQ64" s="397"/>
    </row>
    <row r="65" spans="5:69">
      <c r="E65" s="400"/>
      <c r="BQ65" s="397"/>
    </row>
    <row r="66" spans="5:69">
      <c r="E66" s="400"/>
      <c r="BQ66" s="397"/>
    </row>
    <row r="67" spans="5:69">
      <c r="E67" s="400"/>
      <c r="BQ67" s="397"/>
    </row>
    <row r="68" spans="5:69">
      <c r="E68" s="400"/>
      <c r="BQ68" s="397"/>
    </row>
    <row r="69" spans="5:69">
      <c r="E69" s="400"/>
      <c r="BQ69" s="397"/>
    </row>
    <row r="70" spans="5:69">
      <c r="E70" s="400"/>
      <c r="BQ70" s="397"/>
    </row>
    <row r="71" spans="5:69">
      <c r="E71" s="400"/>
      <c r="BQ71" s="397"/>
    </row>
    <row r="72" spans="5:69">
      <c r="E72" s="400"/>
      <c r="BQ72" s="397"/>
    </row>
    <row r="73" spans="5:69">
      <c r="E73" s="400"/>
      <c r="BQ73" s="397"/>
    </row>
    <row r="74" spans="5:69">
      <c r="E74" s="400"/>
      <c r="BQ74" s="397"/>
    </row>
    <row r="75" spans="5:69">
      <c r="E75" s="400"/>
      <c r="BQ75" s="397"/>
    </row>
    <row r="76" spans="5:69">
      <c r="E76" s="400"/>
      <c r="BQ76" s="397"/>
    </row>
    <row r="77" spans="5:69">
      <c r="E77" s="400"/>
      <c r="BQ77" s="397"/>
    </row>
    <row r="78" spans="5:69">
      <c r="E78" s="400"/>
      <c r="BQ78" s="397"/>
    </row>
    <row r="79" spans="5:69">
      <c r="E79" s="400"/>
      <c r="BQ79" s="397"/>
    </row>
    <row r="80" spans="5:69">
      <c r="E80" s="400"/>
      <c r="BQ80" s="397"/>
    </row>
    <row r="81" spans="5:69">
      <c r="E81" s="400"/>
      <c r="BQ81" s="397"/>
    </row>
    <row r="82" spans="5:69">
      <c r="E82" s="400"/>
      <c r="BQ82" s="397"/>
    </row>
    <row r="83" spans="5:69">
      <c r="E83" s="400"/>
      <c r="BQ83" s="397"/>
    </row>
    <row r="84" spans="5:69">
      <c r="E84" s="400"/>
      <c r="BQ84" s="397"/>
    </row>
    <row r="85" spans="5:69">
      <c r="E85" s="400"/>
      <c r="BQ85" s="397"/>
    </row>
    <row r="86" spans="5:69">
      <c r="E86" s="400"/>
      <c r="BQ86" s="397"/>
    </row>
    <row r="87" spans="5:69">
      <c r="E87" s="400"/>
      <c r="BQ87" s="397"/>
    </row>
    <row r="88" spans="5:69">
      <c r="E88" s="400"/>
      <c r="BQ88" s="397"/>
    </row>
    <row r="89" spans="5:69">
      <c r="E89" s="400"/>
      <c r="BQ89" s="397"/>
    </row>
    <row r="90" spans="5:69">
      <c r="E90" s="400"/>
      <c r="BQ90" s="397"/>
    </row>
    <row r="91" spans="5:69">
      <c r="E91" s="400"/>
      <c r="BQ91" s="397"/>
    </row>
    <row r="92" spans="5:69">
      <c r="E92" s="400"/>
      <c r="BQ92" s="397"/>
    </row>
    <row r="93" spans="5:69">
      <c r="E93" s="400"/>
      <c r="BQ93" s="397"/>
    </row>
    <row r="94" spans="5:69">
      <c r="E94" s="400"/>
      <c r="BQ94" s="397"/>
    </row>
    <row r="95" spans="5:69">
      <c r="E95" s="400"/>
      <c r="BQ95" s="397"/>
    </row>
    <row r="96" spans="5:69">
      <c r="E96" s="400"/>
      <c r="BQ96" s="397"/>
    </row>
    <row r="97" spans="5:69">
      <c r="E97" s="400"/>
      <c r="BQ97" s="397"/>
    </row>
    <row r="98" spans="5:69">
      <c r="E98" s="400"/>
      <c r="BQ98" s="397"/>
    </row>
    <row r="99" spans="5:69">
      <c r="E99" s="400"/>
      <c r="BQ99" s="397"/>
    </row>
    <row r="100" spans="5:69">
      <c r="E100" s="400"/>
      <c r="BQ100" s="397"/>
    </row>
    <row r="101" spans="5:69">
      <c r="E101" s="400"/>
      <c r="BQ101" s="397"/>
    </row>
    <row r="102" spans="5:69">
      <c r="E102" s="400"/>
      <c r="BQ102" s="397"/>
    </row>
    <row r="103" spans="5:69">
      <c r="E103" s="400"/>
      <c r="BQ103" s="39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F4"/>
  <sheetViews>
    <sheetView zoomScale="70" zoomScaleNormal="70" workbookViewId="0"/>
  </sheetViews>
  <sheetFormatPr defaultRowHeight="15.75"/>
  <cols>
    <col min="1" max="13" width="9" style="337"/>
    <col min="14" max="14" width="15.125" style="337" bestFit="1" customWidth="1"/>
    <col min="15" max="16" width="9" style="337"/>
    <col min="17" max="17" width="15.125" style="337" bestFit="1" customWidth="1"/>
    <col min="18" max="21" width="9" style="337"/>
    <col min="22" max="22" width="18.5" style="337" customWidth="1"/>
    <col min="23" max="26" width="9" style="337"/>
    <col min="27" max="27" width="15" style="337" bestFit="1" customWidth="1"/>
    <col min="28" max="16384" width="9" style="337"/>
  </cols>
  <sheetData>
    <row r="1" spans="1:32">
      <c r="A1" s="337" t="s">
        <v>501</v>
      </c>
    </row>
    <row r="2" spans="1:32">
      <c r="A2" s="338" t="s">
        <v>416</v>
      </c>
      <c r="B2" s="338"/>
      <c r="C2" s="346"/>
      <c r="D2" s="338" t="s">
        <v>419</v>
      </c>
      <c r="E2" s="338"/>
      <c r="F2" s="339" t="s">
        <v>218</v>
      </c>
      <c r="G2" s="339"/>
      <c r="H2" s="340"/>
      <c r="I2" s="339" t="s">
        <v>219</v>
      </c>
      <c r="J2" s="339"/>
      <c r="K2" s="339"/>
      <c r="L2" s="341"/>
      <c r="M2" s="341" t="s">
        <v>220</v>
      </c>
      <c r="N2" s="341" t="s">
        <v>221</v>
      </c>
      <c r="O2" s="341"/>
      <c r="P2" s="341" t="s">
        <v>222</v>
      </c>
      <c r="Q2" s="341" t="s">
        <v>223</v>
      </c>
      <c r="R2" s="341" t="s">
        <v>176</v>
      </c>
      <c r="S2" s="341" t="s">
        <v>224</v>
      </c>
      <c r="T2" s="341"/>
      <c r="U2" s="341" t="s">
        <v>225</v>
      </c>
      <c r="V2" s="341" t="s">
        <v>226</v>
      </c>
      <c r="W2" s="341"/>
      <c r="X2" s="341"/>
      <c r="Y2" s="341"/>
      <c r="Z2" s="341" t="s">
        <v>227</v>
      </c>
      <c r="AA2" s="341" t="s">
        <v>228</v>
      </c>
      <c r="AB2" s="341"/>
      <c r="AC2" s="341"/>
      <c r="AD2" s="342"/>
      <c r="AE2" s="342"/>
      <c r="AF2" s="342"/>
    </row>
    <row r="3" spans="1:32">
      <c r="A3" s="343" t="s">
        <v>417</v>
      </c>
      <c r="B3" s="344" t="s">
        <v>418</v>
      </c>
      <c r="C3" s="344"/>
      <c r="D3" s="343" t="s">
        <v>176</v>
      </c>
      <c r="E3" s="344" t="s">
        <v>224</v>
      </c>
      <c r="F3" s="345" t="s">
        <v>176</v>
      </c>
      <c r="G3" s="345" t="s">
        <v>224</v>
      </c>
      <c r="H3" s="340"/>
      <c r="I3" s="345" t="s">
        <v>234</v>
      </c>
      <c r="J3" s="345" t="s">
        <v>176</v>
      </c>
      <c r="K3" s="345" t="s">
        <v>224</v>
      </c>
      <c r="L3" s="341"/>
      <c r="M3" s="341" t="s">
        <v>234</v>
      </c>
      <c r="N3" s="341"/>
      <c r="O3" s="341"/>
      <c r="P3" s="341" t="s">
        <v>234</v>
      </c>
      <c r="Q3" s="341"/>
      <c r="R3" s="341"/>
      <c r="S3" s="341"/>
      <c r="T3" s="341"/>
      <c r="U3" s="341" t="s">
        <v>234</v>
      </c>
      <c r="V3" s="341"/>
      <c r="W3" s="341" t="s">
        <v>176</v>
      </c>
      <c r="X3" s="341" t="s">
        <v>224</v>
      </c>
      <c r="Y3" s="341"/>
      <c r="Z3" s="341" t="s">
        <v>234</v>
      </c>
      <c r="AA3" s="341"/>
      <c r="AB3" s="341" t="s">
        <v>176</v>
      </c>
      <c r="AC3" s="341" t="s">
        <v>224</v>
      </c>
      <c r="AD3" s="342"/>
      <c r="AE3" s="342"/>
      <c r="AF3" s="342"/>
    </row>
    <row r="4" spans="1:32">
      <c r="A4" s="347" t="s">
        <v>421</v>
      </c>
      <c r="B4" s="347" t="s">
        <v>421</v>
      </c>
      <c r="AA4" s="347" t="s">
        <v>420</v>
      </c>
    </row>
  </sheetData>
  <mergeCells count="4">
    <mergeCell ref="D2:E2"/>
    <mergeCell ref="F2:G2"/>
    <mergeCell ref="I2:K2"/>
    <mergeCell ref="A2:B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U7"/>
  <sheetViews>
    <sheetView zoomScaleNormal="100" workbookViewId="0"/>
  </sheetViews>
  <sheetFormatPr defaultColWidth="8.25" defaultRowHeight="15.75"/>
  <cols>
    <col min="1" max="1" width="8.25" style="99"/>
    <col min="2" max="2" width="13.125" style="99" bestFit="1" customWidth="1"/>
    <col min="3" max="3" width="10.375" style="99" bestFit="1" customWidth="1"/>
    <col min="4" max="4" width="13" style="99" customWidth="1"/>
    <col min="5" max="5" width="16.875" style="99" bestFit="1" customWidth="1"/>
    <col min="6" max="6" width="7.5" style="99" bestFit="1" customWidth="1"/>
    <col min="7" max="7" width="8" style="99" bestFit="1" customWidth="1"/>
    <col min="8" max="8" width="11.125" style="99" bestFit="1" customWidth="1"/>
    <col min="9" max="10" width="8.125" style="99" bestFit="1" customWidth="1"/>
    <col min="11" max="12" width="16.75" style="99" bestFit="1" customWidth="1"/>
    <col min="13" max="14" width="8.25" style="99"/>
    <col min="15" max="15" width="17.375" style="99" customWidth="1"/>
    <col min="16" max="16384" width="8.25" style="99"/>
  </cols>
  <sheetData>
    <row r="1" spans="1:47" ht="31.5">
      <c r="A1" s="19" t="s">
        <v>430</v>
      </c>
      <c r="B1" s="19"/>
      <c r="C1" s="19"/>
      <c r="D1" s="98"/>
      <c r="E1" s="19" t="s">
        <v>347</v>
      </c>
      <c r="F1" s="19"/>
      <c r="G1" s="19"/>
      <c r="H1" s="20"/>
      <c r="I1" s="20"/>
      <c r="J1" s="20"/>
      <c r="K1" s="20"/>
      <c r="L1" s="20"/>
      <c r="M1" s="21"/>
      <c r="N1" s="21"/>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row>
    <row r="2" spans="1:47" ht="31.5">
      <c r="A2" s="19"/>
      <c r="B2" s="19"/>
      <c r="C2" s="19"/>
      <c r="D2" s="98"/>
      <c r="E2" s="19" t="s">
        <v>336</v>
      </c>
      <c r="F2" s="19" t="s">
        <v>337</v>
      </c>
      <c r="G2" s="19" t="s">
        <v>338</v>
      </c>
      <c r="H2" s="19" t="s">
        <v>339</v>
      </c>
      <c r="I2" s="20" t="s">
        <v>340</v>
      </c>
      <c r="J2" s="20" t="s">
        <v>341</v>
      </c>
      <c r="K2" s="20"/>
      <c r="L2" s="20"/>
      <c r="M2" s="21"/>
      <c r="N2" s="21"/>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row>
    <row r="3" spans="1:47" ht="31.5">
      <c r="A3" s="19"/>
      <c r="B3" s="19"/>
      <c r="C3" s="19"/>
      <c r="D3" s="98"/>
      <c r="E3" s="19" t="s">
        <v>342</v>
      </c>
      <c r="F3" s="19" t="s">
        <v>337</v>
      </c>
      <c r="G3" s="19" t="s">
        <v>338</v>
      </c>
      <c r="H3" s="19" t="s">
        <v>339</v>
      </c>
      <c r="I3" s="20" t="s">
        <v>343</v>
      </c>
      <c r="J3" s="20" t="s">
        <v>344</v>
      </c>
      <c r="K3" s="20" t="s">
        <v>345</v>
      </c>
      <c r="L3" s="20"/>
      <c r="M3" s="21"/>
      <c r="N3" s="21"/>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row>
    <row r="4" spans="1:47" ht="31.5">
      <c r="A4" s="19"/>
      <c r="B4" s="19"/>
      <c r="C4" s="19"/>
      <c r="D4" s="98"/>
      <c r="E4" s="19" t="s">
        <v>346</v>
      </c>
      <c r="F4" s="19" t="s">
        <v>337</v>
      </c>
      <c r="G4" s="19" t="s">
        <v>338</v>
      </c>
      <c r="H4" s="19"/>
      <c r="I4" s="20"/>
      <c r="J4" s="20"/>
      <c r="K4" s="20" t="s">
        <v>345</v>
      </c>
      <c r="L4" s="20"/>
      <c r="M4" s="21"/>
      <c r="N4" s="21"/>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row>
    <row r="5" spans="1:47" ht="48" thickBot="1">
      <c r="A5" s="19"/>
      <c r="B5" s="19"/>
      <c r="C5" s="19"/>
      <c r="D5" s="98"/>
      <c r="E5" s="98"/>
      <c r="F5" s="19"/>
      <c r="G5" s="19"/>
      <c r="H5" s="20"/>
      <c r="I5" s="20"/>
      <c r="J5" s="20"/>
      <c r="K5" s="20" t="str">
        <f>"-"&amp;2^15&amp;"&lt;VAL&lt;"&amp;2^16</f>
        <v>-32768&lt;VAL&lt;65536</v>
      </c>
      <c r="L5" s="20" t="str">
        <f>"-"&amp;2^15&amp;"&lt;VAL&lt;"&amp;2^16</f>
        <v>-32768&lt;VAL&lt;65536</v>
      </c>
      <c r="O5" s="21" t="s">
        <v>350</v>
      </c>
      <c r="P5" s="19" t="s">
        <v>408</v>
      </c>
      <c r="Q5" s="19" t="s">
        <v>410</v>
      </c>
      <c r="R5" s="19" t="s">
        <v>409</v>
      </c>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row>
    <row r="6" spans="1:47" ht="48" thickBot="1">
      <c r="A6" s="294" t="s">
        <v>166</v>
      </c>
      <c r="B6" s="295" t="s">
        <v>167</v>
      </c>
      <c r="C6" s="296" t="s">
        <v>168</v>
      </c>
      <c r="D6" s="227" t="s">
        <v>169</v>
      </c>
      <c r="E6" s="233" t="s">
        <v>170</v>
      </c>
      <c r="F6" s="233" t="s">
        <v>171</v>
      </c>
      <c r="G6" s="297" t="s">
        <v>166</v>
      </c>
      <c r="H6" s="231" t="s">
        <v>172</v>
      </c>
      <c r="I6" s="231" t="s">
        <v>173</v>
      </c>
      <c r="J6" s="231" t="s">
        <v>174</v>
      </c>
      <c r="K6" s="231" t="s">
        <v>175</v>
      </c>
      <c r="L6" s="231" t="s">
        <v>349</v>
      </c>
      <c r="M6" s="298" t="s">
        <v>176</v>
      </c>
      <c r="N6" s="298" t="s">
        <v>359</v>
      </c>
      <c r="O6" s="264" t="s">
        <v>177</v>
      </c>
      <c r="P6" s="265" t="s">
        <v>178</v>
      </c>
      <c r="Q6" s="266" t="s">
        <v>179</v>
      </c>
      <c r="R6" s="223" t="s">
        <v>180</v>
      </c>
      <c r="S6" s="96" t="s">
        <v>181</v>
      </c>
      <c r="T6" s="89" t="s">
        <v>182</v>
      </c>
      <c r="U6" s="89" t="s">
        <v>183</v>
      </c>
      <c r="V6" s="89" t="s">
        <v>184</v>
      </c>
      <c r="W6" s="89" t="s">
        <v>185</v>
      </c>
      <c r="X6" s="89" t="s">
        <v>186</v>
      </c>
      <c r="Y6" s="89" t="s">
        <v>187</v>
      </c>
      <c r="Z6" s="89" t="s">
        <v>188</v>
      </c>
      <c r="AA6" s="89" t="s">
        <v>189</v>
      </c>
      <c r="AB6" s="89" t="s">
        <v>190</v>
      </c>
      <c r="AC6" s="89" t="s">
        <v>191</v>
      </c>
      <c r="AD6" s="89" t="s">
        <v>192</v>
      </c>
      <c r="AE6" s="89" t="s">
        <v>193</v>
      </c>
      <c r="AF6" s="89" t="s">
        <v>194</v>
      </c>
      <c r="AG6" s="89" t="s">
        <v>195</v>
      </c>
      <c r="AH6" s="89" t="s">
        <v>196</v>
      </c>
      <c r="AI6" s="89" t="s">
        <v>197</v>
      </c>
      <c r="AJ6" s="89" t="s">
        <v>198</v>
      </c>
      <c r="AK6" s="89" t="s">
        <v>199</v>
      </c>
      <c r="AL6" s="89" t="s">
        <v>200</v>
      </c>
      <c r="AM6" s="89" t="s">
        <v>201</v>
      </c>
      <c r="AN6" s="89" t="s">
        <v>202</v>
      </c>
      <c r="AO6" s="89" t="s">
        <v>203</v>
      </c>
      <c r="AP6" s="89" t="s">
        <v>204</v>
      </c>
      <c r="AQ6" s="89" t="s">
        <v>205</v>
      </c>
      <c r="AR6" s="89" t="s">
        <v>206</v>
      </c>
      <c r="AS6" s="89" t="s">
        <v>207</v>
      </c>
      <c r="AT6" s="89" t="s">
        <v>208</v>
      </c>
      <c r="AU6" s="90" t="s">
        <v>209</v>
      </c>
    </row>
    <row r="7" spans="1:47" ht="32.25" thickBot="1">
      <c r="A7" s="212" t="str">
        <f>IF(AND(F7="B",IF(OR(G7="LD",G7="LDU",G7="ADD",G7="SUB",G7="AND",G7="OR",G7="XOR"),1,0)),CONCATENATE(G7,"#"),G7)</f>
        <v>NOP</v>
      </c>
      <c r="B7" s="89" t="s">
        <v>213</v>
      </c>
      <c r="C7" s="90" t="s">
        <v>348</v>
      </c>
      <c r="D7" s="202" t="str">
        <f t="shared" ref="D7" si="0">IF(F7="A",CONCATENATE(F7," ",G7," R",H7,",R",I7,",",J7),IF(F7="B",CONCATENATE(F7," ",G7," R",H7,",R",I7,",",K7),CONCATENATE(F7," ",G7," ",K7)))</f>
        <v>A NOP R0,R0,0</v>
      </c>
      <c r="E7" s="203"/>
      <c r="F7" s="211" t="s">
        <v>212</v>
      </c>
      <c r="G7" s="211" t="s">
        <v>67</v>
      </c>
      <c r="H7" s="205">
        <v>0</v>
      </c>
      <c r="I7" s="205">
        <v>0</v>
      </c>
      <c r="J7" s="205">
        <v>0</v>
      </c>
      <c r="K7" s="206" t="s">
        <v>213</v>
      </c>
      <c r="L7" s="206" t="s">
        <v>213</v>
      </c>
      <c r="M7" s="268">
        <v>0</v>
      </c>
      <c r="N7" s="204"/>
      <c r="O7" s="269">
        <v>0</v>
      </c>
      <c r="P7" s="269"/>
      <c r="Q7" s="250"/>
      <c r="R7" s="27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68"/>
  <sheetViews>
    <sheetView topLeftCell="A19" zoomScale="60" zoomScaleNormal="60" workbookViewId="0">
      <selection activeCell="I20" sqref="I20"/>
    </sheetView>
  </sheetViews>
  <sheetFormatPr defaultColWidth="12.125" defaultRowHeight="15.75"/>
  <cols>
    <col min="1" max="1" width="11.75" style="16" bestFit="1" customWidth="1"/>
    <col min="2" max="2" width="43.5" style="16" bestFit="1" customWidth="1"/>
    <col min="3" max="3" width="8.625" style="17" bestFit="1" customWidth="1"/>
    <col min="4" max="4" width="8.625" style="275" bestFit="1" customWidth="1"/>
    <col min="5" max="5" width="8.625" style="17" bestFit="1" customWidth="1"/>
    <col min="6" max="6" width="12.25" style="17" bestFit="1" customWidth="1"/>
    <col min="7" max="7" width="14.5" style="17" bestFit="1" customWidth="1"/>
    <col min="8" max="8" width="8.25" style="275" bestFit="1" customWidth="1"/>
    <col min="9" max="9" width="21.625" style="274" bestFit="1" customWidth="1"/>
    <col min="10" max="10" width="19.5" style="274" bestFit="1" customWidth="1"/>
    <col min="11" max="11" width="14.5" style="17" bestFit="1" customWidth="1"/>
    <col min="12" max="12" width="18.5" style="274" bestFit="1" customWidth="1"/>
    <col min="13" max="13" width="36" style="18" bestFit="1" customWidth="1"/>
    <col min="14" max="14" width="4.75" style="16" bestFit="1" customWidth="1"/>
    <col min="15" max="15" width="6.625" style="16" bestFit="1" customWidth="1"/>
    <col min="16" max="16" width="5.5" style="16" bestFit="1" customWidth="1"/>
    <col min="17" max="18" width="6.625" style="16" bestFit="1" customWidth="1"/>
    <col min="19" max="19" width="4.75" style="16" bestFit="1" customWidth="1"/>
    <col min="20" max="22" width="6.625" style="16" bestFit="1" customWidth="1"/>
    <col min="23" max="23" width="4.75" style="16" bestFit="1" customWidth="1"/>
    <col min="24" max="25" width="6.625" style="16" bestFit="1" customWidth="1"/>
    <col min="26" max="26" width="14.125" style="16" bestFit="1" customWidth="1"/>
    <col min="27" max="27" width="12.875" style="16" bestFit="1" customWidth="1"/>
    <col min="28" max="28" width="5.75" style="16" bestFit="1" customWidth="1"/>
    <col min="29" max="29" width="12.125" style="16"/>
    <col min="30" max="30" width="8.25" style="16" bestFit="1" customWidth="1"/>
    <col min="31" max="31" width="14.125" style="16" bestFit="1" customWidth="1"/>
    <col min="32" max="32" width="38.875" style="16" bestFit="1" customWidth="1"/>
    <col min="33" max="33" width="3.5" style="16" bestFit="1" customWidth="1"/>
    <col min="34" max="34" width="6.125" style="16" bestFit="1" customWidth="1"/>
    <col min="35" max="35" width="3.5" style="16" bestFit="1" customWidth="1"/>
    <col min="36" max="36" width="6.125" style="16" bestFit="1" customWidth="1"/>
    <col min="37" max="37" width="12.125" style="16"/>
    <col min="38" max="38" width="10.75" style="16" bestFit="1" customWidth="1"/>
    <col min="39" max="39" width="3.5" style="16" bestFit="1" customWidth="1"/>
    <col min="40" max="40" width="6.125" style="16" bestFit="1" customWidth="1"/>
    <col min="41" max="41" width="12.125" style="16"/>
    <col min="42" max="42" width="10.5" style="16" bestFit="1" customWidth="1"/>
    <col min="43" max="43" width="16" style="16" bestFit="1" customWidth="1"/>
    <col min="44" max="44" width="12.125" style="16"/>
    <col min="45" max="45" width="10.5" style="16" bestFit="1" customWidth="1"/>
    <col min="46" max="46" width="15.75" style="16" bestFit="1" customWidth="1"/>
    <col min="47" max="47" width="3.5" style="16" bestFit="1" customWidth="1"/>
    <col min="48" max="48" width="6.125" style="16" bestFit="1" customWidth="1"/>
    <col min="49" max="49" width="12.125" style="16"/>
    <col min="50" max="50" width="10.5" style="16" bestFit="1" customWidth="1"/>
    <col min="51" max="51" width="15.75" style="16" bestFit="1" customWidth="1"/>
    <col min="52" max="52" width="3.5" style="16" bestFit="1" customWidth="1"/>
    <col min="53" max="53" width="6.125" style="16" bestFit="1" customWidth="1"/>
    <col min="54" max="54" width="12.125" style="16"/>
    <col min="55" max="55" width="10.5" style="16" bestFit="1" customWidth="1"/>
    <col min="56" max="56" width="15.75" style="16" bestFit="1" customWidth="1"/>
    <col min="57" max="57" width="3.5" style="16" bestFit="1" customWidth="1"/>
    <col min="58" max="58" width="6.125" style="16" bestFit="1" customWidth="1"/>
    <col min="59" max="1023" width="12.125" style="16"/>
    <col min="1024" max="1025" width="12.125" style="29"/>
    <col min="1026" max="16384" width="12.125" style="47"/>
  </cols>
  <sheetData>
    <row r="1" spans="1:58" ht="48.75" thickTop="1" thickBot="1">
      <c r="A1" s="19" t="s">
        <v>166</v>
      </c>
      <c r="B1" s="19" t="s">
        <v>167</v>
      </c>
      <c r="C1" s="20" t="s">
        <v>173</v>
      </c>
      <c r="D1" s="293" t="s">
        <v>407</v>
      </c>
      <c r="E1" s="20" t="s">
        <v>174</v>
      </c>
      <c r="F1" s="20" t="s">
        <v>406</v>
      </c>
      <c r="G1" s="20" t="s">
        <v>172</v>
      </c>
      <c r="H1" s="293" t="s">
        <v>405</v>
      </c>
      <c r="I1" s="292" t="s">
        <v>404</v>
      </c>
      <c r="J1" s="292" t="s">
        <v>403</v>
      </c>
      <c r="K1" s="20" t="s">
        <v>175</v>
      </c>
      <c r="L1" s="292" t="s">
        <v>402</v>
      </c>
      <c r="M1" s="21" t="s">
        <v>401</v>
      </c>
      <c r="N1" s="22" t="s">
        <v>177</v>
      </c>
      <c r="O1" s="22" t="s">
        <v>178</v>
      </c>
      <c r="P1" s="22" t="s">
        <v>179</v>
      </c>
      <c r="Q1" s="22" t="s">
        <v>180</v>
      </c>
      <c r="R1" s="22" t="s">
        <v>181</v>
      </c>
      <c r="S1" s="22" t="s">
        <v>182</v>
      </c>
      <c r="T1" s="22" t="s">
        <v>183</v>
      </c>
      <c r="U1" s="22" t="s">
        <v>184</v>
      </c>
      <c r="V1" s="22" t="s">
        <v>185</v>
      </c>
      <c r="W1" s="22" t="s">
        <v>186</v>
      </c>
      <c r="X1" s="22" t="s">
        <v>187</v>
      </c>
      <c r="Y1" s="22" t="s">
        <v>188</v>
      </c>
      <c r="Z1" s="22" t="s">
        <v>189</v>
      </c>
      <c r="AA1" s="22" t="s">
        <v>190</v>
      </c>
      <c r="AB1" s="22" t="s">
        <v>191</v>
      </c>
      <c r="AE1" s="5"/>
      <c r="AF1" s="5"/>
      <c r="AG1" s="5"/>
      <c r="AH1" s="5"/>
      <c r="AI1" s="7"/>
      <c r="AJ1" s="7"/>
      <c r="AK1" s="7"/>
      <c r="AL1" s="7"/>
      <c r="AM1" s="7"/>
    </row>
    <row r="2" spans="1:58" ht="17.25" thickTop="1" thickBot="1">
      <c r="A2" s="22" t="s">
        <v>67</v>
      </c>
      <c r="B2" s="22" t="s">
        <v>210</v>
      </c>
      <c r="C2" s="25">
        <v>0</v>
      </c>
      <c r="D2" s="290" t="str">
        <f>DEC2BIN(C2,5)</f>
        <v>00000</v>
      </c>
      <c r="E2" s="25">
        <v>0</v>
      </c>
      <c r="F2" s="25" t="str">
        <f>DEC2BIN(E2,5)</f>
        <v>00000</v>
      </c>
      <c r="G2" s="17">
        <v>0</v>
      </c>
      <c r="H2" s="275" t="str">
        <f>DEC2BIN(G2,5)</f>
        <v>00000</v>
      </c>
      <c r="I2" s="6" t="s">
        <v>400</v>
      </c>
      <c r="J2" s="7" t="str">
        <f>SUBSTITUTE(I2,"_","")</f>
        <v>00000000000111111</v>
      </c>
      <c r="K2" s="26" t="s">
        <v>213</v>
      </c>
      <c r="L2" s="291" t="s">
        <v>213</v>
      </c>
      <c r="M2" s="44" t="str">
        <f>D2&amp;F2&amp;H2&amp;J2</f>
        <v>00000000000000000000000000111111</v>
      </c>
      <c r="N2" s="27">
        <v>0</v>
      </c>
      <c r="AE2" s="5"/>
      <c r="AF2" s="5"/>
      <c r="AG2" s="5"/>
      <c r="AH2" s="5"/>
      <c r="AI2" s="7"/>
      <c r="AJ2" s="7"/>
      <c r="AK2" s="7"/>
      <c r="AL2" s="7"/>
      <c r="AM2" s="7"/>
    </row>
    <row r="3" spans="1:58" ht="17.25" thickTop="1" thickBot="1">
      <c r="A3" s="24" t="s">
        <v>214</v>
      </c>
      <c r="B3" s="22" t="s">
        <v>215</v>
      </c>
      <c r="C3" s="25">
        <v>0</v>
      </c>
      <c r="D3" s="290" t="str">
        <f>DEC2BIN(C3,5)</f>
        <v>00000</v>
      </c>
      <c r="E3" s="17" t="s">
        <v>213</v>
      </c>
      <c r="F3" s="25" t="s">
        <v>213</v>
      </c>
      <c r="G3" s="17">
        <v>0</v>
      </c>
      <c r="H3" s="275" t="str">
        <f>DEC2BIN(G3,5)</f>
        <v>00000</v>
      </c>
      <c r="I3" s="6">
        <v>100010</v>
      </c>
      <c r="J3" s="7" t="str">
        <f>SUBSTITUTE(I3,"_","")</f>
        <v>100010</v>
      </c>
      <c r="K3" s="26">
        <f>A40</f>
        <v>0</v>
      </c>
      <c r="L3" s="291" t="str">
        <f>SUBSTITUTE(B40,"_","")</f>
        <v>0000000000000000</v>
      </c>
      <c r="M3" s="44" t="str">
        <f>D3&amp;H3&amp;L3&amp;J3</f>
        <v>00000000000000000000000000100010</v>
      </c>
      <c r="N3" s="27">
        <v>0</v>
      </c>
      <c r="AC3" s="29"/>
      <c r="AD3" s="29"/>
      <c r="AE3" s="80"/>
      <c r="AF3" s="80"/>
      <c r="AG3" s="84" t="s">
        <v>217</v>
      </c>
      <c r="AH3" s="84"/>
      <c r="AI3" s="85" t="s">
        <v>218</v>
      </c>
      <c r="AJ3" s="85"/>
      <c r="AK3" s="29"/>
      <c r="AL3" s="86" t="s">
        <v>219</v>
      </c>
      <c r="AM3" s="86"/>
      <c r="AN3" s="86"/>
      <c r="AP3" s="30" t="s">
        <v>220</v>
      </c>
      <c r="AQ3" s="30" t="s">
        <v>221</v>
      </c>
      <c r="AR3" s="30"/>
      <c r="AS3" s="30" t="s">
        <v>222</v>
      </c>
      <c r="AT3" s="30" t="s">
        <v>223</v>
      </c>
      <c r="AU3" s="30" t="s">
        <v>176</v>
      </c>
      <c r="AV3" s="30" t="s">
        <v>224</v>
      </c>
      <c r="AX3" s="30" t="s">
        <v>225</v>
      </c>
      <c r="AY3" s="30" t="s">
        <v>226</v>
      </c>
      <c r="AZ3" s="30"/>
      <c r="BA3" s="30"/>
      <c r="BC3" s="30" t="s">
        <v>227</v>
      </c>
      <c r="BD3" s="30" t="s">
        <v>228</v>
      </c>
      <c r="BE3" s="30"/>
      <c r="BF3" s="30"/>
    </row>
    <row r="4" spans="1:58" ht="48.75" thickTop="1" thickBot="1">
      <c r="A4" s="22" t="s">
        <v>229</v>
      </c>
      <c r="B4" s="22" t="s">
        <v>230</v>
      </c>
      <c r="C4" s="25">
        <v>0</v>
      </c>
      <c r="D4" s="290" t="str">
        <f>DEC2BIN(C4,5)</f>
        <v>00000</v>
      </c>
      <c r="E4" s="17" t="s">
        <v>213</v>
      </c>
      <c r="F4" s="25" t="s">
        <v>213</v>
      </c>
      <c r="G4" s="17">
        <v>1</v>
      </c>
      <c r="H4" s="275" t="str">
        <f>DEC2BIN(G4,5)</f>
        <v>00001</v>
      </c>
      <c r="I4" s="6">
        <v>100011</v>
      </c>
      <c r="J4" s="7" t="str">
        <f>SUBSTITUTE(I4,"_","")</f>
        <v>100011</v>
      </c>
      <c r="K4" s="17">
        <f>A41</f>
        <v>32768</v>
      </c>
      <c r="L4" s="291" t="str">
        <f>SUBSTITUTE(B41,"_","")</f>
        <v>1000000000000000</v>
      </c>
      <c r="M4" s="44" t="str">
        <f>D4&amp;H4&amp;L4&amp;J4</f>
        <v>00000000011000000000000000100011</v>
      </c>
      <c r="N4" s="16">
        <v>0</v>
      </c>
      <c r="O4" s="27">
        <f>A41</f>
        <v>32768</v>
      </c>
      <c r="AC4" s="29"/>
      <c r="AD4" s="22" t="s">
        <v>166</v>
      </c>
      <c r="AE4" s="31" t="s">
        <v>232</v>
      </c>
      <c r="AF4" s="32" t="s">
        <v>233</v>
      </c>
      <c r="AG4" s="33" t="s">
        <v>176</v>
      </c>
      <c r="AH4" s="34" t="s">
        <v>224</v>
      </c>
      <c r="AI4" s="81" t="s">
        <v>176</v>
      </c>
      <c r="AJ4" s="81" t="s">
        <v>224</v>
      </c>
      <c r="AK4" s="29"/>
      <c r="AL4" s="82" t="s">
        <v>234</v>
      </c>
      <c r="AM4" s="82" t="s">
        <v>176</v>
      </c>
      <c r="AN4" s="82" t="s">
        <v>224</v>
      </c>
      <c r="AP4" s="30" t="s">
        <v>234</v>
      </c>
      <c r="AQ4" s="30"/>
      <c r="AR4" s="30"/>
      <c r="AS4" s="30" t="s">
        <v>234</v>
      </c>
      <c r="AT4" s="30"/>
      <c r="AU4" s="30"/>
      <c r="AV4" s="30"/>
      <c r="AX4" s="30" t="s">
        <v>234</v>
      </c>
      <c r="AY4" s="30"/>
      <c r="AZ4" s="30" t="s">
        <v>176</v>
      </c>
      <c r="BA4" s="30" t="s">
        <v>224</v>
      </c>
      <c r="BC4" s="30" t="s">
        <v>234</v>
      </c>
      <c r="BD4" s="30"/>
      <c r="BE4" s="30" t="s">
        <v>176</v>
      </c>
      <c r="BF4" s="30" t="s">
        <v>224</v>
      </c>
    </row>
    <row r="5" spans="1:58" ht="33" thickTop="1" thickBot="1">
      <c r="A5" s="22" t="s">
        <v>214</v>
      </c>
      <c r="B5" s="22" t="s">
        <v>235</v>
      </c>
      <c r="C5" s="25">
        <v>0</v>
      </c>
      <c r="D5" s="290" t="str">
        <f>DEC2BIN(C5,5)</f>
        <v>00000</v>
      </c>
      <c r="E5" s="17" t="s">
        <v>213</v>
      </c>
      <c r="F5" s="25" t="s">
        <v>213</v>
      </c>
      <c r="G5" s="17">
        <v>2</v>
      </c>
      <c r="H5" s="275" t="str">
        <f>DEC2BIN(G5,5)</f>
        <v>00010</v>
      </c>
      <c r="I5" s="6">
        <v>100010</v>
      </c>
      <c r="J5" s="7" t="str">
        <f>SUBSTITUTE(I5,"_","")</f>
        <v>100010</v>
      </c>
      <c r="K5" s="17">
        <f>A42</f>
        <v>-256</v>
      </c>
      <c r="L5" s="291" t="str">
        <f>SUBSTITUTE(B42,"_","")</f>
        <v>1111111100000000</v>
      </c>
      <c r="M5" s="44" t="str">
        <f>D5&amp;H5&amp;L5&amp;J5</f>
        <v>00000000101111111100000000100010</v>
      </c>
      <c r="N5" s="16">
        <v>0</v>
      </c>
      <c r="O5" s="16">
        <f>O4</f>
        <v>32768</v>
      </c>
      <c r="P5" s="27">
        <f>A42</f>
        <v>-256</v>
      </c>
      <c r="AC5" s="29"/>
      <c r="AD5" s="22" t="s">
        <v>67</v>
      </c>
      <c r="AE5" s="35" t="s">
        <v>211</v>
      </c>
      <c r="AF5" s="36" t="s">
        <v>238</v>
      </c>
      <c r="AG5" s="82" t="s">
        <v>213</v>
      </c>
      <c r="AH5" s="82" t="s">
        <v>213</v>
      </c>
      <c r="AI5" s="81" t="s">
        <v>213</v>
      </c>
      <c r="AJ5" s="81" t="s">
        <v>213</v>
      </c>
      <c r="AK5" s="29"/>
      <c r="AL5" s="82" t="s">
        <v>213</v>
      </c>
      <c r="AM5" s="82" t="s">
        <v>213</v>
      </c>
      <c r="AN5" s="82" t="s">
        <v>213</v>
      </c>
      <c r="AP5" s="30" t="s">
        <v>213</v>
      </c>
      <c r="AQ5" s="30" t="s">
        <v>213</v>
      </c>
      <c r="AR5" s="30"/>
      <c r="AS5" s="30" t="s">
        <v>213</v>
      </c>
      <c r="AT5" s="30" t="s">
        <v>213</v>
      </c>
      <c r="AU5" s="30" t="s">
        <v>213</v>
      </c>
      <c r="AV5" s="30" t="s">
        <v>213</v>
      </c>
      <c r="AX5" s="30" t="s">
        <v>213</v>
      </c>
      <c r="AY5" s="30" t="s">
        <v>213</v>
      </c>
      <c r="AZ5" s="30" t="s">
        <v>213</v>
      </c>
      <c r="BA5" s="30" t="s">
        <v>213</v>
      </c>
      <c r="BC5" s="30" t="s">
        <v>213</v>
      </c>
      <c r="BD5" s="30" t="s">
        <v>213</v>
      </c>
      <c r="BE5" s="30" t="s">
        <v>213</v>
      </c>
      <c r="BF5" s="30" t="s">
        <v>213</v>
      </c>
    </row>
    <row r="6" spans="1:58" ht="33" thickTop="1" thickBot="1">
      <c r="A6" s="22" t="s">
        <v>23</v>
      </c>
      <c r="B6" s="22" t="s">
        <v>239</v>
      </c>
      <c r="C6" s="25">
        <v>2</v>
      </c>
      <c r="D6" s="290" t="str">
        <f>DEC2BIN(C6,5)</f>
        <v>00010</v>
      </c>
      <c r="E6" s="17">
        <v>0</v>
      </c>
      <c r="F6" s="25" t="str">
        <f>DEC2BIN(E6,5)</f>
        <v>00000</v>
      </c>
      <c r="G6" s="17">
        <v>2</v>
      </c>
      <c r="H6" s="275" t="str">
        <f>DEC2BIN(G6,5)</f>
        <v>00010</v>
      </c>
      <c r="I6" s="6" t="s">
        <v>21</v>
      </c>
      <c r="J6" s="7" t="str">
        <f>SUBSTITUTE(I6,"_","")</f>
        <v>00000001010000000</v>
      </c>
      <c r="K6" s="17" t="s">
        <v>213</v>
      </c>
      <c r="L6" s="274" t="s">
        <v>213</v>
      </c>
      <c r="M6" s="44" t="str">
        <f>D6&amp;F6&amp;H6&amp;J6</f>
        <v>00010000000001000000001010000000</v>
      </c>
      <c r="N6" s="16">
        <v>0</v>
      </c>
      <c r="O6" s="16">
        <f>O5</f>
        <v>32768</v>
      </c>
      <c r="P6" s="27">
        <f>A43</f>
        <v>256</v>
      </c>
      <c r="AC6" s="29"/>
      <c r="AD6" s="22" t="s">
        <v>214</v>
      </c>
      <c r="AE6" s="35">
        <v>22</v>
      </c>
      <c r="AF6" s="37" t="s">
        <v>240</v>
      </c>
      <c r="AG6" s="82">
        <v>2</v>
      </c>
      <c r="AH6" s="82">
        <v>1</v>
      </c>
      <c r="AI6" s="81">
        <v>2</v>
      </c>
      <c r="AJ6" s="81">
        <v>2</v>
      </c>
      <c r="AK6" s="29"/>
      <c r="AL6" s="82" t="s">
        <v>241</v>
      </c>
      <c r="AM6" s="82">
        <v>2</v>
      </c>
      <c r="AN6" s="82">
        <v>2</v>
      </c>
      <c r="AP6" s="30"/>
      <c r="AQ6" s="30"/>
      <c r="AR6" s="30"/>
      <c r="AS6" s="30"/>
      <c r="AT6" s="30"/>
      <c r="AU6" s="30">
        <v>1</v>
      </c>
      <c r="AV6" s="30">
        <v>3</v>
      </c>
      <c r="AX6" s="30" t="s">
        <v>242</v>
      </c>
      <c r="AY6" s="30" t="s">
        <v>241</v>
      </c>
      <c r="AZ6" s="30">
        <v>1</v>
      </c>
      <c r="BA6" s="30">
        <v>4</v>
      </c>
      <c r="BC6" s="30" t="s">
        <v>242</v>
      </c>
      <c r="BD6" s="30" t="s">
        <v>241</v>
      </c>
      <c r="BE6" s="30">
        <v>1</v>
      </c>
      <c r="BF6" s="30">
        <v>5</v>
      </c>
    </row>
    <row r="7" spans="1:58" ht="48.75" thickTop="1" thickBot="1">
      <c r="A7" s="22" t="s">
        <v>11</v>
      </c>
      <c r="B7" s="22" t="s">
        <v>243</v>
      </c>
      <c r="C7" s="25">
        <v>1</v>
      </c>
      <c r="D7" s="290" t="str">
        <f>DEC2BIN(C7,5)</f>
        <v>00001</v>
      </c>
      <c r="E7" s="17">
        <v>2</v>
      </c>
      <c r="F7" s="25" t="str">
        <f>DEC2BIN(E7,5)</f>
        <v>00010</v>
      </c>
      <c r="G7" s="17">
        <v>3</v>
      </c>
      <c r="H7" s="275" t="str">
        <f>DEC2BIN(G7,5)</f>
        <v>00011</v>
      </c>
      <c r="I7" s="6" t="s">
        <v>9</v>
      </c>
      <c r="J7" s="7" t="str">
        <f>SUBSTITUTE(I7,"_","")</f>
        <v>00000000001000000</v>
      </c>
      <c r="K7" s="17" t="s">
        <v>213</v>
      </c>
      <c r="L7" s="274" t="s">
        <v>213</v>
      </c>
      <c r="M7" s="44" t="str">
        <f>D7&amp;F7&amp;H7&amp;J7</f>
        <v>00001000100001100000000001000000</v>
      </c>
      <c r="N7" s="16">
        <v>0</v>
      </c>
      <c r="O7" s="16">
        <f>O6</f>
        <v>32768</v>
      </c>
      <c r="P7" s="16">
        <f>P6</f>
        <v>256</v>
      </c>
      <c r="Q7" s="27">
        <f>O7+P7</f>
        <v>33024</v>
      </c>
      <c r="AC7" s="29"/>
      <c r="AD7" s="22" t="s">
        <v>229</v>
      </c>
      <c r="AE7" s="35">
        <v>600023</v>
      </c>
      <c r="AF7" s="37" t="s">
        <v>244</v>
      </c>
      <c r="AG7" s="82">
        <v>3</v>
      </c>
      <c r="AH7" s="82">
        <v>1</v>
      </c>
      <c r="AI7" s="81">
        <v>3</v>
      </c>
      <c r="AJ7" s="81">
        <v>2</v>
      </c>
      <c r="AK7" s="29"/>
      <c r="AL7" s="82" t="s">
        <v>245</v>
      </c>
      <c r="AM7" s="82">
        <v>3</v>
      </c>
      <c r="AN7" s="82">
        <v>2</v>
      </c>
      <c r="AP7" s="30" t="s">
        <v>242</v>
      </c>
      <c r="AQ7" s="30" t="s">
        <v>213</v>
      </c>
      <c r="AR7" s="30"/>
      <c r="AS7" s="30" t="s">
        <v>242</v>
      </c>
      <c r="AT7" s="38" t="s">
        <v>213</v>
      </c>
      <c r="AU7" s="30">
        <v>2</v>
      </c>
      <c r="AV7" s="30">
        <v>3</v>
      </c>
      <c r="AX7" s="30" t="s">
        <v>241</v>
      </c>
      <c r="AY7" s="30" t="s">
        <v>241</v>
      </c>
      <c r="AZ7" s="30">
        <v>2</v>
      </c>
      <c r="BA7" s="30">
        <v>4</v>
      </c>
      <c r="BC7" s="30" t="s">
        <v>241</v>
      </c>
      <c r="BD7" s="30" t="s">
        <v>241</v>
      </c>
      <c r="BE7" s="30">
        <v>2</v>
      </c>
      <c r="BF7" s="30">
        <v>5</v>
      </c>
    </row>
    <row r="8" spans="1:58" ht="48.75" thickTop="1" thickBot="1">
      <c r="A8" s="22" t="s">
        <v>14</v>
      </c>
      <c r="B8" s="22" t="s">
        <v>246</v>
      </c>
      <c r="C8" s="25">
        <v>3</v>
      </c>
      <c r="D8" s="290" t="str">
        <f>DEC2BIN(C8,5)</f>
        <v>00011</v>
      </c>
      <c r="E8" s="17">
        <v>2</v>
      </c>
      <c r="F8" s="25" t="str">
        <f>DEC2BIN(E8,5)</f>
        <v>00010</v>
      </c>
      <c r="G8" s="17">
        <v>4</v>
      </c>
      <c r="H8" s="275" t="str">
        <f>DEC2BIN(G8,5)</f>
        <v>00100</v>
      </c>
      <c r="I8" s="6" t="s">
        <v>12</v>
      </c>
      <c r="J8" s="7" t="str">
        <f>SUBSTITUTE(I8,"_","")</f>
        <v>00000000100000000</v>
      </c>
      <c r="K8" s="17" t="s">
        <v>213</v>
      </c>
      <c r="L8" s="274" t="s">
        <v>213</v>
      </c>
      <c r="M8" s="44" t="str">
        <f>D8&amp;F8&amp;H8&amp;J8</f>
        <v>00011000100010000000000100000000</v>
      </c>
      <c r="N8" s="16">
        <v>0</v>
      </c>
      <c r="O8" s="16">
        <f>O7</f>
        <v>32768</v>
      </c>
      <c r="P8" s="16">
        <f>P7</f>
        <v>256</v>
      </c>
      <c r="Q8" s="16">
        <f>O8+P8</f>
        <v>33024</v>
      </c>
      <c r="R8" s="27">
        <f>Q8-P8</f>
        <v>32768</v>
      </c>
      <c r="AC8" s="29"/>
      <c r="AD8" s="22" t="s">
        <v>214</v>
      </c>
      <c r="AE8" s="35" t="s">
        <v>237</v>
      </c>
      <c r="AF8" s="37" t="s">
        <v>247</v>
      </c>
      <c r="AG8" s="82">
        <v>4</v>
      </c>
      <c r="AH8" s="82">
        <v>1</v>
      </c>
      <c r="AI8" s="81">
        <v>4</v>
      </c>
      <c r="AJ8" s="81">
        <v>2</v>
      </c>
      <c r="AK8" s="29"/>
      <c r="AL8" s="82" t="s">
        <v>248</v>
      </c>
      <c r="AM8" s="82">
        <v>4</v>
      </c>
      <c r="AN8" s="82">
        <v>2</v>
      </c>
      <c r="AP8" s="30" t="s">
        <v>241</v>
      </c>
      <c r="AQ8" s="30" t="s">
        <v>213</v>
      </c>
      <c r="AR8" s="30"/>
      <c r="AS8" s="30" t="s">
        <v>241</v>
      </c>
      <c r="AT8" s="38" t="s">
        <v>213</v>
      </c>
      <c r="AU8" s="30">
        <v>3</v>
      </c>
      <c r="AV8" s="30">
        <v>3</v>
      </c>
      <c r="AX8" s="30" t="s">
        <v>245</v>
      </c>
      <c r="AY8" s="30" t="s">
        <v>245</v>
      </c>
      <c r="AZ8" s="30">
        <v>3</v>
      </c>
      <c r="BA8" s="30">
        <v>4</v>
      </c>
      <c r="BC8" s="30" t="s">
        <v>245</v>
      </c>
      <c r="BD8" s="30" t="s">
        <v>245</v>
      </c>
      <c r="BE8" s="30">
        <v>3</v>
      </c>
      <c r="BF8" s="30">
        <v>5</v>
      </c>
    </row>
    <row r="9" spans="1:58" ht="48.75" thickTop="1" thickBot="1">
      <c r="A9" s="22" t="s">
        <v>17</v>
      </c>
      <c r="B9" s="22" t="s">
        <v>249</v>
      </c>
      <c r="C9" s="25">
        <v>1</v>
      </c>
      <c r="D9" s="290" t="str">
        <f>DEC2BIN(C9,5)</f>
        <v>00001</v>
      </c>
      <c r="E9" s="17">
        <v>2</v>
      </c>
      <c r="F9" s="25" t="str">
        <f>DEC2BIN(E9,5)</f>
        <v>00010</v>
      </c>
      <c r="G9" s="17">
        <v>5</v>
      </c>
      <c r="H9" s="275" t="str">
        <f>DEC2BIN(G9,5)</f>
        <v>00101</v>
      </c>
      <c r="I9" s="6" t="s">
        <v>15</v>
      </c>
      <c r="J9" s="7" t="str">
        <f>SUBSTITUTE(I9,"_","")</f>
        <v>00000001000000000</v>
      </c>
      <c r="K9" s="17" t="s">
        <v>213</v>
      </c>
      <c r="L9" s="274" t="s">
        <v>213</v>
      </c>
      <c r="M9" s="44" t="str">
        <f>D9&amp;F9&amp;H9&amp;J9</f>
        <v>00001000100010100000001000000000</v>
      </c>
      <c r="N9" s="16">
        <v>0</v>
      </c>
      <c r="O9" s="16">
        <f>O8</f>
        <v>32768</v>
      </c>
      <c r="P9" s="16">
        <f>P8</f>
        <v>256</v>
      </c>
      <c r="Q9" s="16">
        <f>O9+P9</f>
        <v>33024</v>
      </c>
      <c r="R9" s="16">
        <f>Q9-P9</f>
        <v>32768</v>
      </c>
      <c r="S9" s="39">
        <v>0</v>
      </c>
      <c r="AC9" s="29"/>
      <c r="AD9" s="22" t="s">
        <v>23</v>
      </c>
      <c r="AE9" s="35">
        <v>10040280</v>
      </c>
      <c r="AF9" s="37" t="s">
        <v>251</v>
      </c>
      <c r="AG9" s="82">
        <v>5</v>
      </c>
      <c r="AH9" s="82">
        <v>1</v>
      </c>
      <c r="AI9" s="81">
        <v>5</v>
      </c>
      <c r="AJ9" s="81">
        <v>2</v>
      </c>
      <c r="AK9" s="29"/>
      <c r="AL9" s="40" t="s">
        <v>252</v>
      </c>
      <c r="AM9" s="82">
        <v>5</v>
      </c>
      <c r="AN9" s="82">
        <v>2</v>
      </c>
      <c r="AP9" s="30" t="s">
        <v>241</v>
      </c>
      <c r="AQ9" s="30" t="s">
        <v>213</v>
      </c>
      <c r="AR9" s="30"/>
      <c r="AS9" s="30" t="s">
        <v>241</v>
      </c>
      <c r="AT9" s="38" t="s">
        <v>213</v>
      </c>
      <c r="AU9" s="30">
        <v>4</v>
      </c>
      <c r="AV9" s="30">
        <v>3</v>
      </c>
      <c r="AX9" s="30" t="s">
        <v>248</v>
      </c>
      <c r="AY9" s="30" t="s">
        <v>248</v>
      </c>
      <c r="AZ9" s="30">
        <v>4</v>
      </c>
      <c r="BA9" s="30">
        <v>4</v>
      </c>
      <c r="BC9" s="30" t="s">
        <v>248</v>
      </c>
      <c r="BD9" s="30" t="s">
        <v>248</v>
      </c>
      <c r="BE9" s="30">
        <v>4</v>
      </c>
      <c r="BF9" s="30">
        <v>5</v>
      </c>
    </row>
    <row r="10" spans="1:58" ht="48.75" thickTop="1" thickBot="1">
      <c r="A10" s="22" t="s">
        <v>20</v>
      </c>
      <c r="B10" s="22" t="s">
        <v>253</v>
      </c>
      <c r="C10" s="25">
        <v>1</v>
      </c>
      <c r="D10" s="290" t="str">
        <f>DEC2BIN(C10,5)</f>
        <v>00001</v>
      </c>
      <c r="E10" s="17">
        <v>2</v>
      </c>
      <c r="F10" s="25" t="str">
        <f>DEC2BIN(E10,5)</f>
        <v>00010</v>
      </c>
      <c r="G10" s="17">
        <v>6</v>
      </c>
      <c r="H10" s="275" t="str">
        <f>DEC2BIN(G10,5)</f>
        <v>00110</v>
      </c>
      <c r="I10" s="6" t="s">
        <v>18</v>
      </c>
      <c r="J10" s="7" t="str">
        <f>SUBSTITUTE(I10,"_","")</f>
        <v>00000001001000000</v>
      </c>
      <c r="K10" s="17" t="s">
        <v>213</v>
      </c>
      <c r="L10" s="274" t="s">
        <v>213</v>
      </c>
      <c r="M10" s="44" t="str">
        <f>D10&amp;F10&amp;H10&amp;J10</f>
        <v>00001000100011000000001001000000</v>
      </c>
      <c r="N10" s="16">
        <v>0</v>
      </c>
      <c r="O10" s="16">
        <f>O9</f>
        <v>32768</v>
      </c>
      <c r="P10" s="16">
        <f>P9</f>
        <v>256</v>
      </c>
      <c r="Q10" s="16">
        <f>O10+P10</f>
        <v>33024</v>
      </c>
      <c r="R10" s="16">
        <f>Q10-P10</f>
        <v>32768</v>
      </c>
      <c r="S10" s="41">
        <f>S9</f>
        <v>0</v>
      </c>
      <c r="T10" s="39">
        <v>33024</v>
      </c>
      <c r="AC10" s="29"/>
      <c r="AD10" s="22" t="s">
        <v>11</v>
      </c>
      <c r="AE10" s="35">
        <v>8860040</v>
      </c>
      <c r="AF10" s="37" t="s">
        <v>255</v>
      </c>
      <c r="AG10" s="82">
        <v>6</v>
      </c>
      <c r="AH10" s="82">
        <v>1</v>
      </c>
      <c r="AI10" s="81">
        <v>6</v>
      </c>
      <c r="AJ10" s="81">
        <v>2</v>
      </c>
      <c r="AK10" s="29"/>
      <c r="AL10" s="40" t="s">
        <v>256</v>
      </c>
      <c r="AM10" s="82">
        <v>6</v>
      </c>
      <c r="AN10" s="82">
        <v>2</v>
      </c>
      <c r="AP10" s="30" t="s">
        <v>248</v>
      </c>
      <c r="AQ10" s="30" t="s">
        <v>248</v>
      </c>
      <c r="AR10" s="30"/>
      <c r="AS10" s="30" t="s">
        <v>241</v>
      </c>
      <c r="AT10" s="38" t="s">
        <v>213</v>
      </c>
      <c r="AU10" s="30">
        <v>5</v>
      </c>
      <c r="AV10" s="30">
        <v>3</v>
      </c>
      <c r="AX10" s="30" t="s">
        <v>257</v>
      </c>
      <c r="AY10" s="30" t="s">
        <v>257</v>
      </c>
      <c r="AZ10" s="30">
        <v>5</v>
      </c>
      <c r="BA10" s="30">
        <v>4</v>
      </c>
      <c r="BC10" s="30" t="s">
        <v>257</v>
      </c>
      <c r="BD10" s="30" t="s">
        <v>257</v>
      </c>
      <c r="BE10" s="30">
        <v>5</v>
      </c>
      <c r="BF10" s="30">
        <v>5</v>
      </c>
    </row>
    <row r="11" spans="1:58" ht="48.75" thickTop="1" thickBot="1">
      <c r="A11" s="22" t="s">
        <v>26</v>
      </c>
      <c r="B11" s="22" t="s">
        <v>258</v>
      </c>
      <c r="C11" s="25">
        <v>1</v>
      </c>
      <c r="D11" s="290" t="str">
        <f>DEC2BIN(C11,5)</f>
        <v>00001</v>
      </c>
      <c r="E11" s="17">
        <v>2</v>
      </c>
      <c r="F11" s="25" t="str">
        <f>DEC2BIN(E11,5)</f>
        <v>00010</v>
      </c>
      <c r="G11" s="17">
        <v>7</v>
      </c>
      <c r="H11" s="275" t="str">
        <f>DEC2BIN(G11,5)</f>
        <v>00111</v>
      </c>
      <c r="I11" s="6" t="s">
        <v>24</v>
      </c>
      <c r="J11" s="7" t="str">
        <f>SUBSTITUTE(I11,"_","")</f>
        <v>00000001011000000</v>
      </c>
      <c r="K11" s="17" t="s">
        <v>213</v>
      </c>
      <c r="L11" s="274" t="s">
        <v>213</v>
      </c>
      <c r="M11" s="44" t="str">
        <f>D11&amp;F11&amp;H11&amp;J11</f>
        <v>00001000100011100000001011000000</v>
      </c>
      <c r="N11" s="16">
        <v>0</v>
      </c>
      <c r="O11" s="16">
        <f>O10</f>
        <v>32768</v>
      </c>
      <c r="P11" s="16">
        <f>P10</f>
        <v>256</v>
      </c>
      <c r="Q11" s="16">
        <f>O11+P11</f>
        <v>33024</v>
      </c>
      <c r="R11" s="16">
        <f>Q11-P11</f>
        <v>32768</v>
      </c>
      <c r="S11" s="41">
        <f>S10</f>
        <v>0</v>
      </c>
      <c r="T11" s="16">
        <f>T10</f>
        <v>33024</v>
      </c>
      <c r="U11" s="27">
        <v>33024</v>
      </c>
      <c r="AC11" s="29"/>
      <c r="AD11" s="22" t="s">
        <v>14</v>
      </c>
      <c r="AE11" s="35">
        <v>18880100</v>
      </c>
      <c r="AF11" s="37" t="s">
        <v>260</v>
      </c>
      <c r="AG11" s="82">
        <v>7</v>
      </c>
      <c r="AH11" s="82">
        <v>1</v>
      </c>
      <c r="AI11" s="81">
        <v>7</v>
      </c>
      <c r="AJ11" s="81">
        <v>2</v>
      </c>
      <c r="AK11" s="29"/>
      <c r="AL11" s="40" t="s">
        <v>261</v>
      </c>
      <c r="AM11" s="82">
        <v>7</v>
      </c>
      <c r="AN11" s="82">
        <v>2</v>
      </c>
      <c r="AP11" s="30" t="s">
        <v>245</v>
      </c>
      <c r="AQ11" s="30" t="s">
        <v>245</v>
      </c>
      <c r="AR11" s="30"/>
      <c r="AS11" s="42" t="s">
        <v>248</v>
      </c>
      <c r="AT11" s="42" t="s">
        <v>257</v>
      </c>
      <c r="AU11" s="30">
        <v>6</v>
      </c>
      <c r="AV11" s="30">
        <v>3</v>
      </c>
      <c r="AX11" s="42" t="s">
        <v>262</v>
      </c>
      <c r="AY11" s="42" t="s">
        <v>263</v>
      </c>
      <c r="AZ11" s="30">
        <v>6</v>
      </c>
      <c r="BA11" s="30">
        <v>4</v>
      </c>
      <c r="BC11" s="42" t="s">
        <v>262</v>
      </c>
      <c r="BD11" s="42" t="s">
        <v>263</v>
      </c>
      <c r="BE11" s="30">
        <v>6</v>
      </c>
      <c r="BF11" s="30">
        <v>5</v>
      </c>
    </row>
    <row r="12" spans="1:58" ht="33" thickTop="1" thickBot="1">
      <c r="A12" s="22" t="s">
        <v>29</v>
      </c>
      <c r="B12" s="22" t="s">
        <v>264</v>
      </c>
      <c r="C12" s="25">
        <v>2</v>
      </c>
      <c r="D12" s="290" t="str">
        <f>DEC2BIN(C12,5)</f>
        <v>00010</v>
      </c>
      <c r="E12" s="17">
        <v>0</v>
      </c>
      <c r="F12" s="25" t="str">
        <f>DEC2BIN(E12,5)</f>
        <v>00000</v>
      </c>
      <c r="G12" s="17">
        <v>8</v>
      </c>
      <c r="H12" s="275" t="str">
        <f>DEC2BIN(G12,5)</f>
        <v>01000</v>
      </c>
      <c r="I12" s="6" t="s">
        <v>27</v>
      </c>
      <c r="J12" s="7" t="str">
        <f>SUBSTITUTE(I12,"_","")</f>
        <v>00000001100000000</v>
      </c>
      <c r="K12" s="17" t="s">
        <v>213</v>
      </c>
      <c r="L12" s="274" t="s">
        <v>213</v>
      </c>
      <c r="M12" s="44" t="str">
        <f>D12&amp;F12&amp;H12&amp;J12</f>
        <v>00010000000100000000001100000000</v>
      </c>
      <c r="N12" s="16">
        <v>0</v>
      </c>
      <c r="O12" s="16">
        <f>O11</f>
        <v>32768</v>
      </c>
      <c r="P12" s="16">
        <f>P11</f>
        <v>256</v>
      </c>
      <c r="Q12" s="16">
        <f>O12+P12</f>
        <v>33024</v>
      </c>
      <c r="R12" s="16">
        <f>Q12-P12</f>
        <v>32768</v>
      </c>
      <c r="S12" s="41">
        <f>S11</f>
        <v>0</v>
      </c>
      <c r="T12" s="16">
        <f>T11</f>
        <v>33024</v>
      </c>
      <c r="U12" s="16">
        <f>U11</f>
        <v>33024</v>
      </c>
      <c r="V12" s="27">
        <v>65279</v>
      </c>
      <c r="AC12" s="29"/>
      <c r="AD12" s="22" t="s">
        <v>17</v>
      </c>
      <c r="AE12" s="35" t="s">
        <v>250</v>
      </c>
      <c r="AF12" s="37" t="s">
        <v>265</v>
      </c>
      <c r="AG12" s="82">
        <v>8</v>
      </c>
      <c r="AH12" s="82">
        <v>1</v>
      </c>
      <c r="AI12" s="81">
        <v>8</v>
      </c>
      <c r="AJ12" s="81">
        <v>2</v>
      </c>
      <c r="AK12" s="29"/>
      <c r="AL12" s="40" t="s">
        <v>266</v>
      </c>
      <c r="AM12" s="82">
        <v>8</v>
      </c>
      <c r="AN12" s="82">
        <v>2</v>
      </c>
      <c r="AP12" s="42" t="s">
        <v>241</v>
      </c>
      <c r="AQ12" s="42" t="s">
        <v>263</v>
      </c>
      <c r="AR12" s="30"/>
      <c r="AS12" s="42" t="s">
        <v>248</v>
      </c>
      <c r="AT12" s="42" t="s">
        <v>257</v>
      </c>
      <c r="AU12" s="30">
        <v>7</v>
      </c>
      <c r="AV12" s="30">
        <v>3</v>
      </c>
      <c r="AX12" s="42" t="s">
        <v>257</v>
      </c>
      <c r="AY12" s="42" t="s">
        <v>245</v>
      </c>
      <c r="AZ12" s="30">
        <v>7</v>
      </c>
      <c r="BA12" s="30">
        <v>4</v>
      </c>
      <c r="BC12" s="42" t="s">
        <v>257</v>
      </c>
      <c r="BD12" s="42" t="s">
        <v>245</v>
      </c>
      <c r="BE12" s="30">
        <v>7</v>
      </c>
      <c r="BF12" s="30">
        <v>5</v>
      </c>
    </row>
    <row r="13" spans="1:58" ht="96" thickTop="1" thickBot="1">
      <c r="A13" s="22" t="s">
        <v>33</v>
      </c>
      <c r="B13" s="22" t="s">
        <v>267</v>
      </c>
      <c r="C13" s="25">
        <v>2</v>
      </c>
      <c r="D13" s="290" t="str">
        <f>DEC2BIN(C13,5)</f>
        <v>00010</v>
      </c>
      <c r="E13" s="17">
        <v>0</v>
      </c>
      <c r="F13" s="25" t="str">
        <f>DEC2BIN(E13,5)</f>
        <v>00000</v>
      </c>
      <c r="G13" s="17">
        <v>9</v>
      </c>
      <c r="H13" s="275" t="str">
        <f>DEC2BIN(G13,5)</f>
        <v>01001</v>
      </c>
      <c r="I13" s="6" t="s">
        <v>31</v>
      </c>
      <c r="J13" s="7" t="str">
        <f>SUBSTITUTE(I13,"_","")</f>
        <v>00000010000000000</v>
      </c>
      <c r="K13" s="17" t="s">
        <v>213</v>
      </c>
      <c r="L13" s="274" t="s">
        <v>213</v>
      </c>
      <c r="M13" s="44" t="str">
        <f>D13&amp;F13&amp;H13&amp;J13</f>
        <v>00010000000100100000010000000000</v>
      </c>
      <c r="N13" s="16">
        <v>0</v>
      </c>
      <c r="O13" s="16">
        <f>O12</f>
        <v>32768</v>
      </c>
      <c r="P13" s="16">
        <f>P12</f>
        <v>256</v>
      </c>
      <c r="Q13" s="16">
        <f>O13+P13</f>
        <v>33024</v>
      </c>
      <c r="R13" s="16">
        <f>Q13-P13</f>
        <v>32768</v>
      </c>
      <c r="S13" s="41">
        <f>S12</f>
        <v>0</v>
      </c>
      <c r="T13" s="16">
        <f>T12</f>
        <v>33024</v>
      </c>
      <c r="U13" s="16">
        <f>U12</f>
        <v>33024</v>
      </c>
      <c r="V13" s="16">
        <f>V12</f>
        <v>65279</v>
      </c>
      <c r="W13" s="27">
        <f>A47</f>
        <v>128</v>
      </c>
      <c r="AC13" s="29"/>
      <c r="AD13" s="22" t="s">
        <v>20</v>
      </c>
      <c r="AE13" s="35" t="s">
        <v>254</v>
      </c>
      <c r="AF13" s="37" t="s">
        <v>268</v>
      </c>
      <c r="AG13" s="82">
        <v>9</v>
      </c>
      <c r="AH13" s="82">
        <v>1</v>
      </c>
      <c r="AI13" s="81">
        <v>9</v>
      </c>
      <c r="AJ13" s="81">
        <v>2</v>
      </c>
      <c r="AK13" s="29"/>
      <c r="AL13" s="40" t="s">
        <v>269</v>
      </c>
      <c r="AM13" s="82">
        <v>9</v>
      </c>
      <c r="AN13" s="82">
        <v>2</v>
      </c>
      <c r="AP13" s="30" t="s">
        <v>245</v>
      </c>
      <c r="AQ13" s="30" t="s">
        <v>245</v>
      </c>
      <c r="AR13" s="30"/>
      <c r="AS13" s="42" t="s">
        <v>248</v>
      </c>
      <c r="AT13" s="42" t="s">
        <v>257</v>
      </c>
      <c r="AU13" s="30">
        <v>8</v>
      </c>
      <c r="AV13" s="30">
        <v>3</v>
      </c>
      <c r="AX13" s="42" t="s">
        <v>245</v>
      </c>
      <c r="AY13" s="42" t="s">
        <v>241</v>
      </c>
      <c r="AZ13" s="30">
        <v>8</v>
      </c>
      <c r="BA13" s="30">
        <v>4</v>
      </c>
      <c r="BC13" s="42" t="s">
        <v>245</v>
      </c>
      <c r="BD13" s="42" t="s">
        <v>241</v>
      </c>
      <c r="BE13" s="30">
        <v>8</v>
      </c>
      <c r="BF13" s="30">
        <v>5</v>
      </c>
    </row>
    <row r="14" spans="1:58" ht="48.75" thickTop="1" thickBot="1">
      <c r="A14" s="22" t="s">
        <v>37</v>
      </c>
      <c r="B14" s="22" t="s">
        <v>270</v>
      </c>
      <c r="C14" s="25">
        <v>3</v>
      </c>
      <c r="D14" s="290" t="str">
        <f>DEC2BIN(C14,5)</f>
        <v>00011</v>
      </c>
      <c r="E14" s="17">
        <v>0</v>
      </c>
      <c r="F14" s="25" t="str">
        <f>DEC2BIN(E14,5)</f>
        <v>00000</v>
      </c>
      <c r="G14" s="17">
        <v>10</v>
      </c>
      <c r="H14" s="275" t="str">
        <f>DEC2BIN(G14,5)</f>
        <v>01010</v>
      </c>
      <c r="I14" s="6" t="s">
        <v>35</v>
      </c>
      <c r="J14" s="7" t="str">
        <f>SUBSTITUTE(I14,"_","")</f>
        <v>00000010001000000</v>
      </c>
      <c r="K14" s="17" t="s">
        <v>213</v>
      </c>
      <c r="L14" s="274" t="s">
        <v>213</v>
      </c>
      <c r="M14" s="44" t="str">
        <f>D14&amp;F14&amp;H14&amp;J14</f>
        <v>00011000000101000000010001000000</v>
      </c>
      <c r="N14" s="16">
        <v>0</v>
      </c>
      <c r="O14" s="16">
        <f>O13</f>
        <v>32768</v>
      </c>
      <c r="P14" s="16">
        <f>P13</f>
        <v>256</v>
      </c>
      <c r="Q14" s="16">
        <f>O14+P14</f>
        <v>33024</v>
      </c>
      <c r="R14" s="16">
        <f>Q14-P14</f>
        <v>32768</v>
      </c>
      <c r="S14" s="41">
        <f>S13</f>
        <v>0</v>
      </c>
      <c r="T14" s="16">
        <f>T13</f>
        <v>33024</v>
      </c>
      <c r="U14" s="16">
        <f>U13</f>
        <v>33024</v>
      </c>
      <c r="V14" s="16">
        <f>V13</f>
        <v>65279</v>
      </c>
      <c r="W14" s="16">
        <f>W13</f>
        <v>128</v>
      </c>
      <c r="X14" s="27">
        <f>A51</f>
        <v>16512</v>
      </c>
      <c r="AC14" s="29"/>
      <c r="AD14" s="22" t="s">
        <v>26</v>
      </c>
      <c r="AE14" s="35" t="s">
        <v>259</v>
      </c>
      <c r="AF14" s="37" t="s">
        <v>271</v>
      </c>
      <c r="AG14" s="82" t="s">
        <v>212</v>
      </c>
      <c r="AH14" s="82">
        <v>1</v>
      </c>
      <c r="AI14" s="81" t="s">
        <v>212</v>
      </c>
      <c r="AJ14" s="81">
        <v>2</v>
      </c>
      <c r="AK14" s="29"/>
      <c r="AL14" s="40" t="s">
        <v>272</v>
      </c>
      <c r="AM14" s="82" t="s">
        <v>212</v>
      </c>
      <c r="AN14" s="82">
        <v>2</v>
      </c>
      <c r="AP14" s="30" t="s">
        <v>245</v>
      </c>
      <c r="AQ14" s="30" t="s">
        <v>245</v>
      </c>
      <c r="AR14" s="30"/>
      <c r="AS14" s="42" t="s">
        <v>248</v>
      </c>
      <c r="AT14" s="42" t="s">
        <v>257</v>
      </c>
      <c r="AU14" s="30">
        <v>9</v>
      </c>
      <c r="AV14" s="30">
        <v>3</v>
      </c>
      <c r="AX14" s="42" t="s">
        <v>248</v>
      </c>
      <c r="AY14" s="42" t="s">
        <v>263</v>
      </c>
      <c r="AZ14" s="30">
        <v>9</v>
      </c>
      <c r="BA14" s="30">
        <v>4</v>
      </c>
      <c r="BC14" s="42" t="s">
        <v>248</v>
      </c>
      <c r="BD14" s="42" t="s">
        <v>263</v>
      </c>
      <c r="BE14" s="30">
        <v>9</v>
      </c>
      <c r="BF14" s="30">
        <v>5</v>
      </c>
    </row>
    <row r="15" spans="1:58" ht="96" thickTop="1" thickBot="1">
      <c r="A15" s="19" t="s">
        <v>273</v>
      </c>
      <c r="B15" s="22" t="s">
        <v>274</v>
      </c>
      <c r="C15" s="25">
        <v>4</v>
      </c>
      <c r="D15" s="290" t="str">
        <f>DEC2BIN(C15,5)</f>
        <v>00100</v>
      </c>
      <c r="E15" s="17">
        <v>0</v>
      </c>
      <c r="F15" s="25" t="str">
        <f>DEC2BIN(E15,5)</f>
        <v>00000</v>
      </c>
      <c r="G15" s="17">
        <v>11</v>
      </c>
      <c r="H15" s="275" t="str">
        <f>DEC2BIN(G15,5)</f>
        <v>01011</v>
      </c>
      <c r="I15" s="6" t="s">
        <v>39</v>
      </c>
      <c r="J15" s="7" t="str">
        <f>SUBSTITUTE(I15,"_","")</f>
        <v>00000010011000000</v>
      </c>
      <c r="K15" s="17" t="s">
        <v>213</v>
      </c>
      <c r="L15" s="274" t="s">
        <v>213</v>
      </c>
      <c r="M15" s="44" t="str">
        <f>D15&amp;F15&amp;H15&amp;J15</f>
        <v>00100000000101100000010011000000</v>
      </c>
      <c r="N15" s="16">
        <v>0</v>
      </c>
      <c r="O15" s="16">
        <f>O14</f>
        <v>32768</v>
      </c>
      <c r="P15" s="16">
        <f>P14</f>
        <v>256</v>
      </c>
      <c r="Q15" s="16">
        <f>O15+P15</f>
        <v>33024</v>
      </c>
      <c r="R15" s="16">
        <f>Q15-P15</f>
        <v>32768</v>
      </c>
      <c r="S15" s="41">
        <f>S14</f>
        <v>0</v>
      </c>
      <c r="T15" s="16">
        <f>T14</f>
        <v>33024</v>
      </c>
      <c r="U15" s="16">
        <f>U14</f>
        <v>33024</v>
      </c>
      <c r="V15" s="16">
        <f>V14</f>
        <v>65279</v>
      </c>
      <c r="W15" s="16">
        <f>W14</f>
        <v>128</v>
      </c>
      <c r="X15" s="16">
        <f>X14</f>
        <v>16512</v>
      </c>
      <c r="Y15" s="27">
        <f>A55</f>
        <v>65536</v>
      </c>
      <c r="AC15" s="29"/>
      <c r="AD15" s="22" t="s">
        <v>29</v>
      </c>
      <c r="AE15" s="35">
        <v>10100300</v>
      </c>
      <c r="AF15" s="37" t="s">
        <v>276</v>
      </c>
      <c r="AG15" s="82" t="s">
        <v>216</v>
      </c>
      <c r="AH15" s="82">
        <v>1</v>
      </c>
      <c r="AI15" s="81" t="s">
        <v>216</v>
      </c>
      <c r="AJ15" s="81">
        <v>2</v>
      </c>
      <c r="AK15" s="29"/>
      <c r="AL15" s="40" t="s">
        <v>277</v>
      </c>
      <c r="AM15" s="82" t="s">
        <v>216</v>
      </c>
      <c r="AN15" s="82">
        <v>2</v>
      </c>
      <c r="AP15" s="30" t="s">
        <v>245</v>
      </c>
      <c r="AQ15" s="30" t="s">
        <v>245</v>
      </c>
      <c r="AR15" s="30"/>
      <c r="AS15" s="42" t="s">
        <v>248</v>
      </c>
      <c r="AT15" s="42" t="s">
        <v>257</v>
      </c>
      <c r="AU15" s="30" t="s">
        <v>212</v>
      </c>
      <c r="AV15" s="30">
        <v>3</v>
      </c>
      <c r="AX15" s="42" t="s">
        <v>278</v>
      </c>
      <c r="AY15" s="42" t="s">
        <v>263</v>
      </c>
      <c r="AZ15" s="30" t="s">
        <v>212</v>
      </c>
      <c r="BA15" s="30">
        <v>4</v>
      </c>
      <c r="BC15" s="42" t="s">
        <v>278</v>
      </c>
      <c r="BD15" s="42" t="s">
        <v>263</v>
      </c>
      <c r="BE15" s="30" t="s">
        <v>212</v>
      </c>
      <c r="BF15" s="30">
        <v>5</v>
      </c>
    </row>
    <row r="16" spans="1:58" ht="111.75" thickTop="1" thickBot="1">
      <c r="A16" s="22" t="s">
        <v>47</v>
      </c>
      <c r="B16" s="22" t="s">
        <v>279</v>
      </c>
      <c r="C16" s="25">
        <v>5</v>
      </c>
      <c r="D16" s="290" t="str">
        <f>DEC2BIN(C16,5)</f>
        <v>00101</v>
      </c>
      <c r="E16" s="17">
        <v>0</v>
      </c>
      <c r="F16" s="25" t="str">
        <f>DEC2BIN(E16,5)</f>
        <v>00000</v>
      </c>
      <c r="G16" s="17">
        <v>12</v>
      </c>
      <c r="H16" s="275" t="str">
        <f>DEC2BIN(G16,5)</f>
        <v>01100</v>
      </c>
      <c r="I16" s="6" t="s">
        <v>45</v>
      </c>
      <c r="J16" s="7" t="str">
        <f>SUBSTITUTE(I16,"_","")</f>
        <v>00000011001000000</v>
      </c>
      <c r="K16" s="17" t="s">
        <v>213</v>
      </c>
      <c r="L16" s="274" t="s">
        <v>213</v>
      </c>
      <c r="M16" s="44" t="str">
        <f>D16&amp;F16&amp;H16&amp;J16</f>
        <v>00101000000110000000011001000000</v>
      </c>
      <c r="N16" s="16">
        <v>0</v>
      </c>
      <c r="O16" s="16">
        <f>O15</f>
        <v>32768</v>
      </c>
      <c r="P16" s="16">
        <f>P15</f>
        <v>256</v>
      </c>
      <c r="Q16" s="16">
        <f>O16+P16</f>
        <v>33024</v>
      </c>
      <c r="R16" s="16">
        <f>Q16-P16</f>
        <v>32768</v>
      </c>
      <c r="S16" s="41">
        <f>S15</f>
        <v>0</v>
      </c>
      <c r="T16" s="16">
        <f>T15</f>
        <v>33024</v>
      </c>
      <c r="U16" s="16">
        <f>U15</f>
        <v>33024</v>
      </c>
      <c r="V16" s="16">
        <f>V15</f>
        <v>65279</v>
      </c>
      <c r="W16" s="16">
        <f>W15</f>
        <v>128</v>
      </c>
      <c r="X16" s="16">
        <f>X15</f>
        <v>16512</v>
      </c>
      <c r="Y16" s="16">
        <f>Y15</f>
        <v>65536</v>
      </c>
      <c r="Z16" s="27" t="str">
        <f>""&amp;A63&amp;"|"&amp;A65&amp;""</f>
        <v>0|1073741824</v>
      </c>
      <c r="AC16" s="29"/>
      <c r="AD16" s="22" t="s">
        <v>33</v>
      </c>
      <c r="AE16" s="35">
        <v>10120400</v>
      </c>
      <c r="AF16" s="37" t="s">
        <v>280</v>
      </c>
      <c r="AG16" s="82" t="s">
        <v>281</v>
      </c>
      <c r="AH16" s="82">
        <v>1</v>
      </c>
      <c r="AI16" s="81" t="s">
        <v>281</v>
      </c>
      <c r="AJ16" s="81">
        <v>2</v>
      </c>
      <c r="AK16" s="29"/>
      <c r="AL16" s="40" t="s">
        <v>282</v>
      </c>
      <c r="AM16" s="82" t="s">
        <v>281</v>
      </c>
      <c r="AN16" s="82">
        <v>2</v>
      </c>
      <c r="AP16" s="42" t="s">
        <v>248</v>
      </c>
      <c r="AQ16" s="42" t="s">
        <v>257</v>
      </c>
      <c r="AR16" s="30"/>
      <c r="AS16" s="30" t="s">
        <v>278</v>
      </c>
      <c r="AT16" s="30" t="s">
        <v>213</v>
      </c>
      <c r="AU16" s="30" t="s">
        <v>216</v>
      </c>
      <c r="AV16" s="30">
        <v>3</v>
      </c>
      <c r="AX16" s="42" t="s">
        <v>283</v>
      </c>
      <c r="AY16" s="42" t="s">
        <v>284</v>
      </c>
      <c r="AZ16" s="30" t="s">
        <v>216</v>
      </c>
      <c r="BA16" s="30">
        <v>4</v>
      </c>
      <c r="BC16" s="42" t="s">
        <v>283</v>
      </c>
      <c r="BD16" s="42" t="s">
        <v>284</v>
      </c>
      <c r="BE16" s="30" t="s">
        <v>216</v>
      </c>
      <c r="BF16" s="30">
        <v>5</v>
      </c>
    </row>
    <row r="17" spans="1:58" ht="111.75" thickTop="1" thickBot="1">
      <c r="A17" s="22" t="s">
        <v>51</v>
      </c>
      <c r="B17" s="22" t="s">
        <v>285</v>
      </c>
      <c r="C17" s="25">
        <v>6</v>
      </c>
      <c r="D17" s="290" t="str">
        <f>DEC2BIN(C17,5)</f>
        <v>00110</v>
      </c>
      <c r="E17" s="17">
        <v>0</v>
      </c>
      <c r="F17" s="25" t="str">
        <f>DEC2BIN(E17,5)</f>
        <v>00000</v>
      </c>
      <c r="G17" s="17">
        <v>13</v>
      </c>
      <c r="H17" s="275" t="str">
        <f>DEC2BIN(G17,5)</f>
        <v>01101</v>
      </c>
      <c r="I17" s="6" t="s">
        <v>49</v>
      </c>
      <c r="J17" s="7" t="str">
        <f>SUBSTITUTE(I17,"_","")</f>
        <v>00000011010000000</v>
      </c>
      <c r="K17" s="17" t="s">
        <v>213</v>
      </c>
      <c r="L17" s="274" t="s">
        <v>213</v>
      </c>
      <c r="M17" s="44" t="str">
        <f>D17&amp;F17&amp;H17&amp;J17</f>
        <v>00110000000110100000011010000000</v>
      </c>
      <c r="N17" s="16">
        <v>0</v>
      </c>
      <c r="O17" s="16">
        <f>O16</f>
        <v>32768</v>
      </c>
      <c r="P17" s="16">
        <f>P16</f>
        <v>256</v>
      </c>
      <c r="Q17" s="16">
        <f>O17+P17</f>
        <v>33024</v>
      </c>
      <c r="R17" s="16">
        <f>Q17-P17</f>
        <v>32768</v>
      </c>
      <c r="S17" s="41">
        <f>S16</f>
        <v>0</v>
      </c>
      <c r="T17" s="16">
        <f>T16</f>
        <v>33024</v>
      </c>
      <c r="U17" s="16">
        <f>U16</f>
        <v>33024</v>
      </c>
      <c r="V17" s="16">
        <f>V16</f>
        <v>65279</v>
      </c>
      <c r="W17" s="16">
        <f>W16</f>
        <v>128</v>
      </c>
      <c r="X17" s="16">
        <f>X16</f>
        <v>16512</v>
      </c>
      <c r="Y17" s="16">
        <f>Y16</f>
        <v>65536</v>
      </c>
      <c r="Z17" s="16" t="str">
        <f>Z16</f>
        <v>0|1073741824</v>
      </c>
      <c r="AA17" s="27" t="str">
        <f>""&amp;A59&amp;"|"&amp;A61&amp;""</f>
        <v>66048|66049</v>
      </c>
      <c r="AC17" s="29"/>
      <c r="AD17" s="22" t="s">
        <v>37</v>
      </c>
      <c r="AE17" s="35">
        <v>18140440</v>
      </c>
      <c r="AF17" s="37" t="s">
        <v>287</v>
      </c>
      <c r="AG17" s="82" t="s">
        <v>288</v>
      </c>
      <c r="AH17" s="82">
        <v>1</v>
      </c>
      <c r="AI17" s="81" t="s">
        <v>288</v>
      </c>
      <c r="AJ17" s="81">
        <v>2</v>
      </c>
      <c r="AK17" s="29"/>
      <c r="AL17" s="40" t="s">
        <v>289</v>
      </c>
      <c r="AM17" s="82" t="s">
        <v>288</v>
      </c>
      <c r="AN17" s="82">
        <v>2</v>
      </c>
      <c r="AP17" s="42" t="s">
        <v>248</v>
      </c>
      <c r="AQ17" s="42" t="s">
        <v>257</v>
      </c>
      <c r="AR17" s="30"/>
      <c r="AS17" s="30" t="s">
        <v>283</v>
      </c>
      <c r="AT17" s="30" t="s">
        <v>213</v>
      </c>
      <c r="AU17" s="30" t="s">
        <v>281</v>
      </c>
      <c r="AV17" s="30">
        <v>3</v>
      </c>
      <c r="AX17" s="42" t="s">
        <v>290</v>
      </c>
      <c r="AY17" s="42" t="s">
        <v>291</v>
      </c>
      <c r="AZ17" s="30" t="s">
        <v>281</v>
      </c>
      <c r="BA17" s="30">
        <v>4</v>
      </c>
      <c r="BC17" s="42" t="s">
        <v>290</v>
      </c>
      <c r="BD17" s="42" t="s">
        <v>291</v>
      </c>
      <c r="BE17" s="30" t="s">
        <v>281</v>
      </c>
      <c r="BF17" s="30">
        <v>5</v>
      </c>
    </row>
    <row r="18" spans="1:58" ht="17.25" thickTop="1" thickBot="1">
      <c r="I18" s="16"/>
      <c r="J18" s="16"/>
      <c r="AC18" s="29"/>
      <c r="AD18" s="22" t="s">
        <v>273</v>
      </c>
      <c r="AE18" s="35" t="s">
        <v>275</v>
      </c>
      <c r="AF18" s="37" t="s">
        <v>292</v>
      </c>
      <c r="AG18" s="82" t="s">
        <v>293</v>
      </c>
      <c r="AH18" s="82">
        <v>1</v>
      </c>
      <c r="AI18" s="81" t="s">
        <v>293</v>
      </c>
      <c r="AJ18" s="81">
        <v>2</v>
      </c>
      <c r="AK18" s="29"/>
      <c r="AL18" s="40" t="s">
        <v>294</v>
      </c>
      <c r="AM18" s="82" t="s">
        <v>293</v>
      </c>
      <c r="AN18" s="82">
        <v>2</v>
      </c>
      <c r="AP18" s="42" t="s">
        <v>241</v>
      </c>
      <c r="AQ18" s="42" t="s">
        <v>263</v>
      </c>
      <c r="AR18" s="30"/>
      <c r="AS18" s="30" t="s">
        <v>290</v>
      </c>
      <c r="AT18" s="30" t="s">
        <v>213</v>
      </c>
      <c r="AU18" s="30" t="s">
        <v>288</v>
      </c>
      <c r="AV18" s="30">
        <v>3</v>
      </c>
      <c r="AX18" s="42" t="s">
        <v>241</v>
      </c>
      <c r="AY18" s="42" t="s">
        <v>295</v>
      </c>
      <c r="AZ18" s="30" t="s">
        <v>288</v>
      </c>
      <c r="BA18" s="30">
        <v>4</v>
      </c>
      <c r="BC18" s="42" t="s">
        <v>241</v>
      </c>
      <c r="BD18" s="42" t="s">
        <v>295</v>
      </c>
      <c r="BE18" s="30" t="s">
        <v>288</v>
      </c>
      <c r="BF18" s="30">
        <v>5</v>
      </c>
    </row>
    <row r="19" spans="1:58" ht="48.75" thickTop="1" thickBot="1">
      <c r="A19" s="19" t="s">
        <v>166</v>
      </c>
      <c r="B19" s="19" t="s">
        <v>167</v>
      </c>
      <c r="C19" s="289" t="s">
        <v>399</v>
      </c>
      <c r="D19" s="289" t="s">
        <v>398</v>
      </c>
      <c r="E19" s="289" t="s">
        <v>397</v>
      </c>
      <c r="F19" s="289" t="s">
        <v>396</v>
      </c>
      <c r="G19" s="288" t="s">
        <v>349</v>
      </c>
      <c r="H19" s="287"/>
      <c r="I19" s="286" t="s">
        <v>232</v>
      </c>
      <c r="J19" s="29"/>
      <c r="K19" s="29"/>
      <c r="L19" s="29"/>
      <c r="N19" s="22" t="s">
        <v>177</v>
      </c>
      <c r="O19" s="22" t="s">
        <v>178</v>
      </c>
      <c r="P19" s="22" t="s">
        <v>179</v>
      </c>
      <c r="Q19" s="22" t="s">
        <v>180</v>
      </c>
      <c r="R19" s="22" t="s">
        <v>181</v>
      </c>
      <c r="S19" s="22" t="s">
        <v>182</v>
      </c>
      <c r="T19" s="22" t="s">
        <v>183</v>
      </c>
      <c r="U19" s="22" t="s">
        <v>184</v>
      </c>
      <c r="V19" s="22" t="s">
        <v>185</v>
      </c>
      <c r="W19" s="22" t="s">
        <v>186</v>
      </c>
      <c r="X19" s="22" t="s">
        <v>187</v>
      </c>
      <c r="Y19" s="22" t="s">
        <v>188</v>
      </c>
      <c r="Z19" s="22" t="s">
        <v>189</v>
      </c>
      <c r="AA19" s="22" t="s">
        <v>190</v>
      </c>
      <c r="AC19" s="29"/>
      <c r="AD19" s="22" t="s">
        <v>47</v>
      </c>
      <c r="AE19" s="35">
        <v>28180640</v>
      </c>
      <c r="AF19" s="37" t="s">
        <v>296</v>
      </c>
      <c r="AG19" s="82" t="s">
        <v>297</v>
      </c>
      <c r="AH19" s="82">
        <v>1</v>
      </c>
      <c r="AI19" s="81" t="s">
        <v>297</v>
      </c>
      <c r="AJ19" s="81">
        <v>2</v>
      </c>
      <c r="AK19" s="29"/>
      <c r="AL19" s="40" t="s">
        <v>298</v>
      </c>
      <c r="AM19" s="82" t="s">
        <v>297</v>
      </c>
      <c r="AN19" s="82">
        <v>2</v>
      </c>
      <c r="AP19" s="42" t="s">
        <v>241</v>
      </c>
      <c r="AQ19" s="42" t="s">
        <v>245</v>
      </c>
      <c r="AR19" s="30"/>
      <c r="AS19" s="30" t="s">
        <v>241</v>
      </c>
      <c r="AT19" s="30" t="s">
        <v>213</v>
      </c>
      <c r="AU19" s="30" t="s">
        <v>293</v>
      </c>
      <c r="AV19" s="30">
        <v>3</v>
      </c>
      <c r="AX19" s="42" t="s">
        <v>241</v>
      </c>
      <c r="AY19" s="42" t="s">
        <v>299</v>
      </c>
      <c r="AZ19" s="30" t="s">
        <v>293</v>
      </c>
      <c r="BA19" s="30">
        <v>4</v>
      </c>
      <c r="BC19" s="42" t="s">
        <v>241</v>
      </c>
      <c r="BD19" s="42" t="s">
        <v>299</v>
      </c>
      <c r="BE19" s="30" t="s">
        <v>293</v>
      </c>
      <c r="BF19" s="30">
        <v>5</v>
      </c>
    </row>
    <row r="20" spans="1:58" ht="17.25" thickTop="1" thickBot="1">
      <c r="A20" s="22" t="s">
        <v>67</v>
      </c>
      <c r="B20" s="22" t="s">
        <v>210</v>
      </c>
      <c r="C20" s="284" t="str">
        <f>BIN2HEX(D2)</f>
        <v>0</v>
      </c>
      <c r="D20" s="284" t="str">
        <f>BIN2HEX(F2)</f>
        <v>0</v>
      </c>
      <c r="E20" s="284" t="str">
        <f>BIN2HEX(H2)</f>
        <v>0</v>
      </c>
      <c r="F20" s="284" t="s">
        <v>395</v>
      </c>
      <c r="G20" s="283" t="s">
        <v>213</v>
      </c>
      <c r="H20" s="282"/>
      <c r="I20" s="276" t="s">
        <v>211</v>
      </c>
      <c r="J20" s="29"/>
      <c r="K20" s="29"/>
      <c r="L20" s="29"/>
      <c r="M20" s="16"/>
      <c r="N20" s="46" t="str">
        <f>DEC2HEX(N2)</f>
        <v>0</v>
      </c>
      <c r="O20" s="18"/>
      <c r="P20" s="18"/>
      <c r="Q20" s="18"/>
      <c r="R20" s="18"/>
      <c r="S20" s="18"/>
      <c r="T20" s="18"/>
      <c r="U20" s="18"/>
      <c r="V20" s="18"/>
      <c r="W20" s="18"/>
      <c r="X20" s="18"/>
      <c r="Y20" s="18"/>
      <c r="Z20" s="18"/>
      <c r="AA20" s="18"/>
      <c r="AD20" s="22" t="s">
        <v>51</v>
      </c>
      <c r="AE20" s="35" t="s">
        <v>286</v>
      </c>
      <c r="AF20" s="37" t="s">
        <v>300</v>
      </c>
      <c r="AG20" s="82">
        <v>10</v>
      </c>
      <c r="AH20" s="82">
        <v>1</v>
      </c>
      <c r="AI20" s="81">
        <v>10</v>
      </c>
      <c r="AJ20" s="81">
        <v>2</v>
      </c>
      <c r="AK20" s="29"/>
      <c r="AL20" s="40" t="s">
        <v>301</v>
      </c>
      <c r="AM20" s="82">
        <v>10</v>
      </c>
      <c r="AN20" s="82">
        <v>2</v>
      </c>
      <c r="AP20" s="42" t="s">
        <v>241</v>
      </c>
      <c r="AQ20" s="42" t="s">
        <v>241</v>
      </c>
      <c r="AR20" s="30"/>
      <c r="AS20" s="30" t="s">
        <v>241</v>
      </c>
      <c r="AT20" s="30" t="s">
        <v>213</v>
      </c>
      <c r="AU20" s="30" t="s">
        <v>297</v>
      </c>
      <c r="AV20" s="30">
        <v>3</v>
      </c>
      <c r="AX20" s="42" t="s">
        <v>241</v>
      </c>
      <c r="AY20" s="42" t="s">
        <v>241</v>
      </c>
      <c r="AZ20" s="30" t="s">
        <v>297</v>
      </c>
      <c r="BA20" s="30">
        <v>4</v>
      </c>
      <c r="BC20" s="42" t="s">
        <v>241</v>
      </c>
      <c r="BD20" s="42" t="s">
        <v>241</v>
      </c>
      <c r="BE20" s="30" t="s">
        <v>297</v>
      </c>
      <c r="BF20" s="30">
        <v>5</v>
      </c>
    </row>
    <row r="21" spans="1:58" ht="17.25" thickTop="1" thickBot="1">
      <c r="A21" s="24" t="s">
        <v>214</v>
      </c>
      <c r="B21" s="22" t="s">
        <v>215</v>
      </c>
      <c r="C21" s="284" t="str">
        <f>BIN2HEX(D3)</f>
        <v>0</v>
      </c>
      <c r="D21" s="284" t="s">
        <v>213</v>
      </c>
      <c r="E21" s="284" t="str">
        <f>BIN2HEX(H3)</f>
        <v>0</v>
      </c>
      <c r="F21" s="284" t="str">
        <f>BIN2HEX(J3)</f>
        <v>22</v>
      </c>
      <c r="G21" s="283" t="str">
        <f>DEC2HEX(K3)</f>
        <v>0</v>
      </c>
      <c r="H21" s="282"/>
      <c r="I21" s="276">
        <v>22</v>
      </c>
      <c r="J21" s="29"/>
      <c r="K21" s="29"/>
      <c r="L21" s="29"/>
      <c r="M21" s="16"/>
      <c r="N21" s="46" t="str">
        <f>DEC2HEX(N3)</f>
        <v>0</v>
      </c>
      <c r="O21" s="18"/>
      <c r="P21" s="18"/>
      <c r="Q21" s="18"/>
      <c r="R21" s="18"/>
      <c r="S21" s="18"/>
      <c r="T21" s="18"/>
      <c r="U21" s="18"/>
      <c r="V21" s="18"/>
      <c r="W21" s="18"/>
      <c r="X21" s="18"/>
      <c r="Y21" s="18"/>
      <c r="Z21" s="18"/>
      <c r="AA21" s="18"/>
      <c r="AN21" s="43"/>
      <c r="AP21" s="42" t="s">
        <v>241</v>
      </c>
      <c r="AQ21" s="42" t="s">
        <v>263</v>
      </c>
      <c r="AR21" s="30"/>
      <c r="AS21" s="30" t="s">
        <v>241</v>
      </c>
      <c r="AT21" s="30" t="s">
        <v>213</v>
      </c>
      <c r="AU21" s="30">
        <v>10</v>
      </c>
      <c r="AV21" s="30">
        <v>3</v>
      </c>
      <c r="AX21" s="42" t="s">
        <v>241</v>
      </c>
      <c r="AY21" s="42" t="s">
        <v>302</v>
      </c>
      <c r="AZ21" s="30">
        <v>10</v>
      </c>
      <c r="BA21" s="30">
        <v>4</v>
      </c>
      <c r="BC21" s="42" t="s">
        <v>241</v>
      </c>
      <c r="BD21" s="42" t="s">
        <v>302</v>
      </c>
      <c r="BE21" s="30">
        <v>10</v>
      </c>
      <c r="BF21" s="30">
        <v>5</v>
      </c>
    </row>
    <row r="22" spans="1:58" ht="33" thickTop="1" thickBot="1">
      <c r="A22" s="22" t="s">
        <v>229</v>
      </c>
      <c r="B22" s="22" t="s">
        <v>230</v>
      </c>
      <c r="C22" s="284" t="str">
        <f>BIN2HEX(D4)</f>
        <v>0</v>
      </c>
      <c r="D22" s="284" t="s">
        <v>213</v>
      </c>
      <c r="E22" s="284" t="str">
        <f>BIN2HEX(H4)</f>
        <v>1</v>
      </c>
      <c r="F22" s="284" t="str">
        <f>BIN2HEX(J4)</f>
        <v>23</v>
      </c>
      <c r="G22" s="283" t="str">
        <f>DEC2HEX(K4)</f>
        <v>8000</v>
      </c>
      <c r="H22" s="282"/>
      <c r="I22" s="276">
        <v>600023</v>
      </c>
      <c r="J22" s="29"/>
      <c r="K22" s="29"/>
      <c r="L22" s="29"/>
      <c r="M22" s="16"/>
      <c r="N22" s="18" t="str">
        <f>DEC2HEX(N4)</f>
        <v>0</v>
      </c>
      <c r="O22" s="46" t="str">
        <f>DEC2HEX(O4)</f>
        <v>8000</v>
      </c>
      <c r="P22" s="18"/>
      <c r="Q22" s="18"/>
      <c r="R22" s="18"/>
      <c r="S22" s="18"/>
      <c r="T22" s="18"/>
      <c r="U22" s="18"/>
      <c r="V22" s="18"/>
      <c r="W22" s="18"/>
      <c r="X22" s="18"/>
      <c r="Y22" s="18"/>
      <c r="Z22" s="18"/>
      <c r="AA22" s="18"/>
      <c r="AE22" s="29"/>
      <c r="AF22" s="29"/>
      <c r="AG22" s="29"/>
      <c r="AH22" s="29"/>
    </row>
    <row r="23" spans="1:58" ht="33" thickTop="1" thickBot="1">
      <c r="A23" s="22" t="s">
        <v>214</v>
      </c>
      <c r="B23" s="22" t="s">
        <v>235</v>
      </c>
      <c r="C23" s="284" t="str">
        <f>BIN2HEX(D5)</f>
        <v>0</v>
      </c>
      <c r="D23" s="284" t="e">
        <f>BIN2HEX(F5)</f>
        <v>#NUM!</v>
      </c>
      <c r="E23" s="284" t="str">
        <f>BIN2HEX(H5)</f>
        <v>2</v>
      </c>
      <c r="F23" s="284" t="str">
        <f>BIN2HEX(J5)</f>
        <v>22</v>
      </c>
      <c r="G23" s="285" t="s">
        <v>334</v>
      </c>
      <c r="H23" s="282"/>
      <c r="I23" s="276" t="s">
        <v>237</v>
      </c>
      <c r="J23" s="29"/>
      <c r="K23" s="29"/>
      <c r="L23" s="29"/>
      <c r="M23" s="16"/>
      <c r="N23" s="18" t="str">
        <f>DEC2HEX(N5)</f>
        <v>0</v>
      </c>
      <c r="O23" s="18" t="str">
        <f>DEC2HEX(O5)</f>
        <v>8000</v>
      </c>
      <c r="P23" s="46" t="s">
        <v>334</v>
      </c>
      <c r="Q23" s="18"/>
      <c r="R23" s="18"/>
      <c r="S23" s="18"/>
      <c r="T23" s="18"/>
      <c r="U23" s="18"/>
      <c r="V23" s="18"/>
      <c r="W23" s="18"/>
      <c r="X23" s="18"/>
      <c r="Y23" s="18"/>
      <c r="Z23" s="18"/>
      <c r="AA23" s="18"/>
      <c r="AE23" s="29"/>
      <c r="AF23" s="29"/>
      <c r="AG23" s="29"/>
      <c r="AH23" s="29"/>
      <c r="AP23" s="29"/>
      <c r="AQ23" s="29"/>
      <c r="AR23" s="29"/>
      <c r="AS23" s="29"/>
      <c r="AT23" s="29"/>
      <c r="AU23" s="29"/>
      <c r="AV23" s="29"/>
      <c r="AW23" s="29"/>
      <c r="AX23" s="29"/>
      <c r="AY23" s="29"/>
      <c r="AZ23" s="29"/>
      <c r="BA23" s="29"/>
      <c r="BB23" s="29"/>
      <c r="BC23" s="29"/>
      <c r="BD23" s="29"/>
      <c r="BE23" s="29"/>
      <c r="BF23" s="29"/>
    </row>
    <row r="24" spans="1:58" ht="33" thickTop="1" thickBot="1">
      <c r="A24" s="22" t="s">
        <v>23</v>
      </c>
      <c r="B24" s="22" t="s">
        <v>239</v>
      </c>
      <c r="C24" s="284" t="str">
        <f>BIN2HEX(D6)</f>
        <v>2</v>
      </c>
      <c r="D24" s="284" t="str">
        <f>BIN2HEX(F6)</f>
        <v>0</v>
      </c>
      <c r="E24" s="284" t="str">
        <f>BIN2HEX(H6)</f>
        <v>2</v>
      </c>
      <c r="F24" s="284">
        <v>280</v>
      </c>
      <c r="G24" s="283" t="s">
        <v>213</v>
      </c>
      <c r="H24" s="282"/>
      <c r="I24" s="276">
        <v>10040280</v>
      </c>
      <c r="J24" s="29"/>
      <c r="K24" s="29"/>
      <c r="L24" s="29"/>
      <c r="M24" s="16"/>
      <c r="N24" s="18" t="str">
        <f>DEC2HEX(N6)</f>
        <v>0</v>
      </c>
      <c r="O24" s="18" t="str">
        <f>DEC2HEX(O6)</f>
        <v>8000</v>
      </c>
      <c r="P24" s="46" t="str">
        <f>DEC2HEX(P6)</f>
        <v>100</v>
      </c>
      <c r="Q24" s="18"/>
      <c r="R24" s="18"/>
      <c r="S24" s="18"/>
      <c r="T24" s="18"/>
      <c r="U24" s="18"/>
      <c r="V24" s="18"/>
      <c r="W24" s="18"/>
      <c r="X24" s="18"/>
      <c r="Y24" s="18"/>
      <c r="Z24" s="18"/>
      <c r="AA24" s="18"/>
      <c r="AE24" s="29"/>
      <c r="AF24" s="29"/>
      <c r="AG24" s="29"/>
      <c r="AH24" s="29"/>
      <c r="AP24" s="29"/>
      <c r="AQ24" s="29"/>
      <c r="AR24" s="29"/>
      <c r="AS24" s="29"/>
      <c r="AT24" s="29"/>
      <c r="AU24" s="29"/>
      <c r="AV24" s="29"/>
      <c r="AW24" s="29"/>
      <c r="AX24" s="29"/>
      <c r="AY24" s="29"/>
      <c r="AZ24" s="29"/>
      <c r="BA24" s="29"/>
      <c r="BB24" s="29"/>
      <c r="BC24" s="29"/>
      <c r="BD24" s="29"/>
      <c r="BE24" s="29"/>
      <c r="BF24" s="29"/>
    </row>
    <row r="25" spans="1:58" ht="48.75" thickTop="1" thickBot="1">
      <c r="A25" s="22" t="s">
        <v>11</v>
      </c>
      <c r="B25" s="22" t="s">
        <v>243</v>
      </c>
      <c r="C25" s="284" t="str">
        <f>BIN2HEX(D7)</f>
        <v>1</v>
      </c>
      <c r="D25" s="284" t="str">
        <f>BIN2HEX(F7)</f>
        <v>2</v>
      </c>
      <c r="E25" s="284" t="str">
        <f>BIN2HEX(H7)</f>
        <v>3</v>
      </c>
      <c r="F25" s="284">
        <v>40</v>
      </c>
      <c r="G25" s="283" t="s">
        <v>213</v>
      </c>
      <c r="H25" s="282"/>
      <c r="I25" s="276">
        <v>8860040</v>
      </c>
      <c r="J25" s="29"/>
      <c r="K25" s="29"/>
      <c r="L25" s="29"/>
      <c r="M25" s="16"/>
      <c r="N25" s="18" t="str">
        <f>DEC2HEX(N7)</f>
        <v>0</v>
      </c>
      <c r="O25" s="18" t="str">
        <f>DEC2HEX(O7)</f>
        <v>8000</v>
      </c>
      <c r="P25" s="18" t="str">
        <f>DEC2HEX(P7)</f>
        <v>100</v>
      </c>
      <c r="Q25" s="46" t="str">
        <f>DEC2HEX(Q7)</f>
        <v>8100</v>
      </c>
      <c r="R25" s="18"/>
      <c r="S25" s="18"/>
      <c r="T25" s="18"/>
      <c r="U25" s="18"/>
      <c r="V25" s="18"/>
      <c r="W25" s="18"/>
      <c r="X25" s="18"/>
      <c r="Y25" s="18"/>
      <c r="Z25" s="18"/>
      <c r="AA25" s="18"/>
      <c r="AE25" s="29"/>
      <c r="AF25" s="29"/>
      <c r="AG25" s="29"/>
      <c r="AH25" s="29"/>
      <c r="AP25" s="29"/>
      <c r="AQ25" s="29"/>
      <c r="AR25" s="29"/>
      <c r="AS25" s="29"/>
      <c r="AT25" s="29"/>
      <c r="AU25" s="29"/>
      <c r="AV25" s="29"/>
      <c r="AW25" s="29"/>
      <c r="AX25" s="29"/>
      <c r="AY25" s="29"/>
      <c r="AZ25" s="29"/>
      <c r="BA25" s="29"/>
      <c r="BB25" s="29"/>
      <c r="BC25" s="29"/>
      <c r="BD25" s="29"/>
      <c r="BE25" s="29"/>
      <c r="BF25" s="29"/>
    </row>
    <row r="26" spans="1:58" ht="48.75" thickTop="1" thickBot="1">
      <c r="A26" s="22" t="s">
        <v>14</v>
      </c>
      <c r="B26" s="22" t="s">
        <v>246</v>
      </c>
      <c r="C26" s="284" t="str">
        <f>BIN2HEX(D8)</f>
        <v>3</v>
      </c>
      <c r="D26" s="284" t="str">
        <f>BIN2HEX(F8)</f>
        <v>2</v>
      </c>
      <c r="E26" s="284" t="str">
        <f>BIN2HEX(H8)</f>
        <v>4</v>
      </c>
      <c r="F26" s="284">
        <v>100</v>
      </c>
      <c r="G26" s="283" t="s">
        <v>213</v>
      </c>
      <c r="H26" s="282"/>
      <c r="I26" s="276">
        <v>18880100</v>
      </c>
      <c r="J26" s="29"/>
      <c r="K26" s="29"/>
      <c r="L26" s="29"/>
      <c r="M26" s="16"/>
      <c r="N26" s="18" t="str">
        <f>DEC2HEX(N8)</f>
        <v>0</v>
      </c>
      <c r="O26" s="18" t="str">
        <f>DEC2HEX(O8)</f>
        <v>8000</v>
      </c>
      <c r="P26" s="18" t="str">
        <f>DEC2HEX(P8)</f>
        <v>100</v>
      </c>
      <c r="Q26" s="18" t="str">
        <f>DEC2HEX(Q8)</f>
        <v>8100</v>
      </c>
      <c r="R26" s="46" t="str">
        <f>DEC2HEX(R8)</f>
        <v>8000</v>
      </c>
      <c r="S26" s="18"/>
      <c r="T26" s="18"/>
      <c r="U26" s="18"/>
      <c r="V26" s="18"/>
      <c r="W26" s="18"/>
      <c r="X26" s="18"/>
      <c r="Y26" s="18"/>
      <c r="Z26" s="18"/>
      <c r="AA26" s="18"/>
      <c r="AE26" s="29"/>
      <c r="AF26" s="29"/>
      <c r="AG26" s="29"/>
      <c r="AH26" s="29"/>
      <c r="AP26" s="29"/>
      <c r="AQ26" s="29"/>
      <c r="AR26" s="29"/>
      <c r="AS26" s="29"/>
      <c r="AT26" s="29"/>
      <c r="AU26" s="29"/>
      <c r="AV26" s="29"/>
      <c r="AW26" s="29"/>
      <c r="AX26" s="29"/>
      <c r="AY26" s="29"/>
      <c r="AZ26" s="29"/>
      <c r="BA26" s="29"/>
      <c r="BB26" s="29"/>
      <c r="BC26" s="29"/>
      <c r="BD26" s="29"/>
      <c r="BE26" s="29"/>
      <c r="BF26" s="29"/>
    </row>
    <row r="27" spans="1:58" ht="48.75" thickTop="1" thickBot="1">
      <c r="A27" s="22" t="s">
        <v>17</v>
      </c>
      <c r="B27" s="22" t="s">
        <v>249</v>
      </c>
      <c r="C27" s="284" t="str">
        <f>BIN2HEX(D9)</f>
        <v>1</v>
      </c>
      <c r="D27" s="284" t="str">
        <f>BIN2HEX(F9)</f>
        <v>2</v>
      </c>
      <c r="E27" s="284" t="str">
        <f>BIN2HEX(H9)</f>
        <v>5</v>
      </c>
      <c r="F27" s="284">
        <v>200</v>
      </c>
      <c r="G27" s="283" t="s">
        <v>213</v>
      </c>
      <c r="H27" s="282"/>
      <c r="I27" s="276" t="s">
        <v>250</v>
      </c>
      <c r="J27" s="29"/>
      <c r="K27" s="29"/>
      <c r="L27" s="29"/>
      <c r="M27" s="16"/>
      <c r="N27" s="18" t="str">
        <f>DEC2HEX(N9)</f>
        <v>0</v>
      </c>
      <c r="O27" s="18" t="str">
        <f>DEC2HEX(O9)</f>
        <v>8000</v>
      </c>
      <c r="P27" s="18" t="str">
        <f>DEC2HEX(P9)</f>
        <v>100</v>
      </c>
      <c r="Q27" s="18" t="str">
        <f>DEC2HEX(Q9)</f>
        <v>8100</v>
      </c>
      <c r="R27" s="18" t="str">
        <f>DEC2HEX(R9)</f>
        <v>8000</v>
      </c>
      <c r="S27" s="46" t="str">
        <f>DEC2HEX(S9)</f>
        <v>0</v>
      </c>
      <c r="T27" s="18"/>
      <c r="U27" s="18"/>
      <c r="V27" s="18"/>
      <c r="W27" s="18"/>
      <c r="X27" s="18"/>
      <c r="Y27" s="18"/>
      <c r="Z27" s="18"/>
      <c r="AA27" s="18"/>
      <c r="AE27" s="29"/>
      <c r="AF27" s="29"/>
      <c r="AG27" s="29"/>
      <c r="AH27" s="29"/>
      <c r="AP27" s="29"/>
      <c r="AQ27" s="29"/>
      <c r="AR27" s="29"/>
      <c r="AS27" s="29"/>
      <c r="AT27" s="29"/>
      <c r="AU27" s="29"/>
      <c r="AV27" s="29"/>
      <c r="AW27" s="29"/>
      <c r="AX27" s="29"/>
      <c r="AY27" s="29"/>
      <c r="AZ27" s="29"/>
      <c r="BA27" s="29"/>
      <c r="BB27" s="29"/>
      <c r="BC27" s="29"/>
      <c r="BD27" s="29"/>
      <c r="BE27" s="29"/>
      <c r="BF27" s="29"/>
    </row>
    <row r="28" spans="1:58" ht="48.75" thickTop="1" thickBot="1">
      <c r="A28" s="22" t="s">
        <v>20</v>
      </c>
      <c r="B28" s="22" t="s">
        <v>253</v>
      </c>
      <c r="C28" s="284" t="str">
        <f>BIN2HEX(D10)</f>
        <v>1</v>
      </c>
      <c r="D28" s="284" t="str">
        <f>BIN2HEX(F10)</f>
        <v>2</v>
      </c>
      <c r="E28" s="284" t="str">
        <f>BIN2HEX(H10)</f>
        <v>6</v>
      </c>
      <c r="F28" s="284">
        <v>240</v>
      </c>
      <c r="G28" s="283" t="s">
        <v>213</v>
      </c>
      <c r="H28" s="282"/>
      <c r="I28" s="276" t="s">
        <v>254</v>
      </c>
      <c r="J28" s="29"/>
      <c r="K28" s="29"/>
      <c r="L28" s="29"/>
      <c r="M28" s="16"/>
      <c r="N28" s="18" t="str">
        <f>DEC2HEX(N10)</f>
        <v>0</v>
      </c>
      <c r="O28" s="18" t="str">
        <f>DEC2HEX(O10)</f>
        <v>8000</v>
      </c>
      <c r="P28" s="18" t="str">
        <f>DEC2HEX(P10)</f>
        <v>100</v>
      </c>
      <c r="Q28" s="18" t="str">
        <f>DEC2HEX(Q10)</f>
        <v>8100</v>
      </c>
      <c r="R28" s="18" t="str">
        <f>DEC2HEX(R10)</f>
        <v>8000</v>
      </c>
      <c r="S28" s="18" t="str">
        <f>DEC2HEX(S10)</f>
        <v>0</v>
      </c>
      <c r="T28" s="46" t="str">
        <f>DEC2HEX(T10)</f>
        <v>8100</v>
      </c>
      <c r="U28" s="18"/>
      <c r="V28" s="18"/>
      <c r="W28" s="18"/>
      <c r="X28" s="18"/>
      <c r="Y28" s="18"/>
      <c r="Z28" s="18"/>
      <c r="AA28" s="18"/>
      <c r="AE28" s="29"/>
      <c r="AF28" s="29"/>
      <c r="AG28" s="29"/>
      <c r="AH28" s="29"/>
      <c r="AP28" s="29"/>
      <c r="AQ28" s="29"/>
      <c r="AR28" s="29"/>
      <c r="AS28" s="29"/>
      <c r="AT28" s="29"/>
      <c r="AU28" s="29"/>
      <c r="AV28" s="29"/>
      <c r="AW28" s="29"/>
      <c r="AX28" s="29"/>
      <c r="AY28" s="29"/>
      <c r="AZ28" s="29"/>
      <c r="BA28" s="29"/>
      <c r="BB28" s="29"/>
      <c r="BC28" s="29"/>
      <c r="BD28" s="29"/>
      <c r="BE28" s="29"/>
      <c r="BF28" s="29"/>
    </row>
    <row r="29" spans="1:58" ht="48.75" thickTop="1" thickBot="1">
      <c r="A29" s="22" t="s">
        <v>26</v>
      </c>
      <c r="B29" s="22" t="s">
        <v>258</v>
      </c>
      <c r="C29" s="284" t="str">
        <f>BIN2HEX(D11)</f>
        <v>1</v>
      </c>
      <c r="D29" s="284" t="str">
        <f>BIN2HEX(F11)</f>
        <v>2</v>
      </c>
      <c r="E29" s="284" t="str">
        <f>BIN2HEX(H11)</f>
        <v>7</v>
      </c>
      <c r="F29" s="284" t="s">
        <v>394</v>
      </c>
      <c r="G29" s="283" t="s">
        <v>213</v>
      </c>
      <c r="H29" s="282"/>
      <c r="I29" s="276" t="s">
        <v>259</v>
      </c>
      <c r="J29" s="29"/>
      <c r="K29" s="29"/>
      <c r="L29" s="29"/>
      <c r="M29" s="16"/>
      <c r="N29" s="18" t="str">
        <f>DEC2HEX(N11)</f>
        <v>0</v>
      </c>
      <c r="O29" s="18" t="str">
        <f>DEC2HEX(O11)</f>
        <v>8000</v>
      </c>
      <c r="P29" s="18" t="str">
        <f>DEC2HEX(P11)</f>
        <v>100</v>
      </c>
      <c r="Q29" s="18" t="str">
        <f>DEC2HEX(Q11)</f>
        <v>8100</v>
      </c>
      <c r="R29" s="18" t="str">
        <f>DEC2HEX(R11)</f>
        <v>8000</v>
      </c>
      <c r="S29" s="18" t="str">
        <f>DEC2HEX(S11)</f>
        <v>0</v>
      </c>
      <c r="T29" s="18" t="str">
        <f>DEC2HEX(T11)</f>
        <v>8100</v>
      </c>
      <c r="U29" s="46" t="str">
        <f>DEC2HEX(U11)</f>
        <v>8100</v>
      </c>
      <c r="V29" s="18"/>
      <c r="W29" s="18"/>
      <c r="X29" s="18"/>
      <c r="Y29" s="18"/>
      <c r="Z29" s="18"/>
      <c r="AA29" s="18"/>
      <c r="AE29" s="29"/>
      <c r="AF29" s="29"/>
      <c r="AG29" s="29"/>
      <c r="AH29" s="29"/>
      <c r="AP29" s="29"/>
      <c r="AQ29" s="29"/>
      <c r="AR29" s="29"/>
      <c r="AS29" s="29"/>
      <c r="AT29" s="29"/>
      <c r="AU29" s="29"/>
      <c r="AV29" s="29"/>
      <c r="AW29" s="29"/>
      <c r="AX29" s="29"/>
      <c r="AY29" s="29"/>
      <c r="AZ29" s="29"/>
      <c r="BA29" s="29"/>
      <c r="BB29" s="29"/>
      <c r="BC29" s="29"/>
      <c r="BD29" s="29"/>
      <c r="BE29" s="29"/>
      <c r="BF29" s="29"/>
    </row>
    <row r="30" spans="1:58" ht="33" thickTop="1" thickBot="1">
      <c r="A30" s="22" t="s">
        <v>29</v>
      </c>
      <c r="B30" s="22" t="s">
        <v>264</v>
      </c>
      <c r="C30" s="284" t="str">
        <f>BIN2HEX(D12)</f>
        <v>2</v>
      </c>
      <c r="D30" s="284" t="str">
        <f>BIN2HEX(F12)</f>
        <v>0</v>
      </c>
      <c r="E30" s="284" t="str">
        <f>BIN2HEX(H12)</f>
        <v>8</v>
      </c>
      <c r="F30" s="284">
        <v>300</v>
      </c>
      <c r="G30" s="283" t="s">
        <v>213</v>
      </c>
      <c r="H30" s="282"/>
      <c r="I30" s="276">
        <v>10100300</v>
      </c>
      <c r="J30" s="29"/>
      <c r="K30" s="29"/>
      <c r="L30" s="29"/>
      <c r="M30" s="16"/>
      <c r="N30" s="18" t="str">
        <f>DEC2HEX(N12)</f>
        <v>0</v>
      </c>
      <c r="O30" s="18" t="str">
        <f>DEC2HEX(O12)</f>
        <v>8000</v>
      </c>
      <c r="P30" s="18" t="str">
        <f>DEC2HEX(P12)</f>
        <v>100</v>
      </c>
      <c r="Q30" s="18" t="str">
        <f>DEC2HEX(Q12)</f>
        <v>8100</v>
      </c>
      <c r="R30" s="18" t="str">
        <f>DEC2HEX(R12)</f>
        <v>8000</v>
      </c>
      <c r="S30" s="18" t="str">
        <f>DEC2HEX(S12)</f>
        <v>0</v>
      </c>
      <c r="T30" s="18" t="str">
        <f>DEC2HEX(T12)</f>
        <v>8100</v>
      </c>
      <c r="U30" s="18" t="str">
        <f>DEC2HEX(U12)</f>
        <v>8100</v>
      </c>
      <c r="V30" s="46" t="str">
        <f>DEC2HEX(V12)</f>
        <v>FEFF</v>
      </c>
      <c r="W30" s="18"/>
      <c r="X30" s="18"/>
      <c r="Y30" s="18"/>
      <c r="Z30" s="18"/>
      <c r="AA30" s="18"/>
      <c r="AE30" s="29"/>
      <c r="AF30" s="29"/>
      <c r="AG30" s="29"/>
      <c r="AH30" s="29"/>
      <c r="AP30" s="29"/>
      <c r="AQ30" s="29"/>
      <c r="AR30" s="29"/>
      <c r="AS30" s="29"/>
      <c r="AT30" s="29"/>
      <c r="AU30" s="29"/>
      <c r="AV30" s="29"/>
      <c r="AW30" s="29"/>
      <c r="AX30" s="29"/>
      <c r="AY30" s="29"/>
      <c r="AZ30" s="29"/>
      <c r="BA30" s="29"/>
      <c r="BB30" s="29"/>
      <c r="BC30" s="29"/>
      <c r="BD30" s="29"/>
      <c r="BE30" s="29"/>
      <c r="BF30" s="29"/>
    </row>
    <row r="31" spans="1:58" ht="96" thickTop="1" thickBot="1">
      <c r="A31" s="22" t="s">
        <v>33</v>
      </c>
      <c r="B31" s="22" t="s">
        <v>267</v>
      </c>
      <c r="C31" s="284" t="str">
        <f>BIN2HEX(D13)</f>
        <v>2</v>
      </c>
      <c r="D31" s="284" t="str">
        <f>BIN2HEX(F13)</f>
        <v>0</v>
      </c>
      <c r="E31" s="284" t="str">
        <f>BIN2HEX(H13)</f>
        <v>9</v>
      </c>
      <c r="F31" s="284">
        <v>400</v>
      </c>
      <c r="G31" s="283" t="s">
        <v>213</v>
      </c>
      <c r="H31" s="282"/>
      <c r="I31" s="276">
        <v>10120400</v>
      </c>
      <c r="J31" s="29"/>
      <c r="K31" s="29"/>
      <c r="L31" s="29"/>
      <c r="M31" s="16"/>
      <c r="N31" s="18" t="str">
        <f>DEC2HEX(N13)</f>
        <v>0</v>
      </c>
      <c r="O31" s="18" t="str">
        <f>DEC2HEX(O13)</f>
        <v>8000</v>
      </c>
      <c r="P31" s="18" t="str">
        <f>DEC2HEX(P13)</f>
        <v>100</v>
      </c>
      <c r="Q31" s="18" t="str">
        <f>DEC2HEX(Q13)</f>
        <v>8100</v>
      </c>
      <c r="R31" s="18" t="str">
        <f>DEC2HEX(R13)</f>
        <v>8000</v>
      </c>
      <c r="S31" s="18" t="str">
        <f>DEC2HEX(S13)</f>
        <v>0</v>
      </c>
      <c r="T31" s="18" t="str">
        <f>DEC2HEX(T13)</f>
        <v>8100</v>
      </c>
      <c r="U31" s="18" t="str">
        <f>DEC2HEX(U13)</f>
        <v>8100</v>
      </c>
      <c r="V31" s="18" t="str">
        <f>V30</f>
        <v>FEFF</v>
      </c>
      <c r="W31" s="46" t="str">
        <f>DEC2HEX(W13)</f>
        <v>80</v>
      </c>
      <c r="X31" s="18"/>
      <c r="Y31" s="18"/>
      <c r="Z31" s="18"/>
      <c r="AA31" s="18"/>
      <c r="AE31" s="29"/>
      <c r="AF31" s="29"/>
      <c r="AG31" s="29"/>
      <c r="AH31" s="29"/>
      <c r="AP31" s="29"/>
      <c r="AQ31" s="29"/>
      <c r="AR31" s="29"/>
      <c r="AS31" s="29"/>
      <c r="AT31" s="29"/>
      <c r="AU31" s="29"/>
      <c r="AV31" s="29"/>
      <c r="AW31" s="29"/>
      <c r="AX31" s="29"/>
      <c r="AY31" s="29"/>
      <c r="AZ31" s="29"/>
      <c r="BA31" s="29"/>
      <c r="BB31" s="29"/>
      <c r="BC31" s="29"/>
      <c r="BD31" s="29"/>
      <c r="BE31" s="29"/>
      <c r="BF31" s="29"/>
    </row>
    <row r="32" spans="1:58" ht="48.75" thickTop="1" thickBot="1">
      <c r="A32" s="22" t="s">
        <v>37</v>
      </c>
      <c r="B32" s="22" t="s">
        <v>270</v>
      </c>
      <c r="C32" s="284" t="str">
        <f>BIN2HEX(D14)</f>
        <v>3</v>
      </c>
      <c r="D32" s="284" t="str">
        <f>BIN2HEX(F14)</f>
        <v>0</v>
      </c>
      <c r="E32" s="284" t="str">
        <f>BIN2HEX(H14)</f>
        <v>A</v>
      </c>
      <c r="F32" s="284">
        <v>440</v>
      </c>
      <c r="G32" s="283" t="s">
        <v>213</v>
      </c>
      <c r="H32" s="282"/>
      <c r="I32" s="276">
        <v>18140440</v>
      </c>
      <c r="J32" s="29"/>
      <c r="K32" s="29"/>
      <c r="L32" s="29"/>
      <c r="M32" s="16"/>
      <c r="N32" s="18" t="str">
        <f>DEC2HEX(N14)</f>
        <v>0</v>
      </c>
      <c r="O32" s="18" t="str">
        <f>DEC2HEX(O14)</f>
        <v>8000</v>
      </c>
      <c r="P32" s="18" t="str">
        <f>DEC2HEX(P14)</f>
        <v>100</v>
      </c>
      <c r="Q32" s="18" t="str">
        <f>DEC2HEX(Q14)</f>
        <v>8100</v>
      </c>
      <c r="R32" s="18" t="str">
        <f>DEC2HEX(R14)</f>
        <v>8000</v>
      </c>
      <c r="S32" s="18" t="str">
        <f>DEC2HEX(S14)</f>
        <v>0</v>
      </c>
      <c r="T32" s="18" t="str">
        <f>DEC2HEX(T14)</f>
        <v>8100</v>
      </c>
      <c r="U32" s="18" t="str">
        <f>DEC2HEX(U14)</f>
        <v>8100</v>
      </c>
      <c r="V32" s="18" t="str">
        <f>V31</f>
        <v>FEFF</v>
      </c>
      <c r="W32" s="18" t="str">
        <f>W31</f>
        <v>80</v>
      </c>
      <c r="X32" s="46" t="str">
        <f>DEC2HEX(X14)</f>
        <v>4080</v>
      </c>
      <c r="Y32" s="18"/>
      <c r="Z32" s="18"/>
      <c r="AA32" s="18"/>
      <c r="AE32" s="29"/>
      <c r="AF32" s="29"/>
      <c r="AG32" s="29"/>
      <c r="AH32" s="29"/>
      <c r="AP32" s="29"/>
      <c r="AQ32" s="29"/>
      <c r="AR32" s="29"/>
      <c r="AS32" s="29"/>
      <c r="AT32" s="29"/>
      <c r="AU32" s="29"/>
      <c r="AV32" s="29"/>
      <c r="AW32" s="29"/>
      <c r="AX32" s="29"/>
      <c r="AY32" s="29"/>
      <c r="AZ32" s="29"/>
      <c r="BA32" s="29"/>
      <c r="BB32" s="29"/>
      <c r="BC32" s="29"/>
      <c r="BD32" s="29"/>
      <c r="BE32" s="29"/>
      <c r="BF32" s="29"/>
    </row>
    <row r="33" spans="1:1024" ht="96" thickTop="1" thickBot="1">
      <c r="A33" s="19" t="s">
        <v>273</v>
      </c>
      <c r="B33" s="22" t="s">
        <v>274</v>
      </c>
      <c r="C33" s="284" t="str">
        <f>BIN2HEX(D15)</f>
        <v>4</v>
      </c>
      <c r="D33" s="284" t="str">
        <f>BIN2HEX(F15)</f>
        <v>0</v>
      </c>
      <c r="E33" s="284" t="str">
        <f>BIN2HEX(H15)</f>
        <v>B</v>
      </c>
      <c r="F33" s="284" t="s">
        <v>393</v>
      </c>
      <c r="G33" s="283" t="s">
        <v>213</v>
      </c>
      <c r="H33" s="282"/>
      <c r="I33" s="276" t="s">
        <v>275</v>
      </c>
      <c r="J33" s="29"/>
      <c r="K33" s="29"/>
      <c r="L33" s="29"/>
      <c r="M33" s="16"/>
      <c r="N33" s="18" t="str">
        <f>DEC2HEX(N15)</f>
        <v>0</v>
      </c>
      <c r="O33" s="18" t="str">
        <f>DEC2HEX(O15)</f>
        <v>8000</v>
      </c>
      <c r="P33" s="18" t="str">
        <f>DEC2HEX(P15)</f>
        <v>100</v>
      </c>
      <c r="Q33" s="18" t="str">
        <f>DEC2HEX(Q15)</f>
        <v>8100</v>
      </c>
      <c r="R33" s="18" t="str">
        <f>DEC2HEX(R15)</f>
        <v>8000</v>
      </c>
      <c r="S33" s="18" t="str">
        <f>DEC2HEX(S15)</f>
        <v>0</v>
      </c>
      <c r="T33" s="18" t="str">
        <f>DEC2HEX(T15)</f>
        <v>8100</v>
      </c>
      <c r="U33" s="18" t="str">
        <f>DEC2HEX(U15)</f>
        <v>8100</v>
      </c>
      <c r="V33" s="18" t="str">
        <f>V32</f>
        <v>FEFF</v>
      </c>
      <c r="W33" s="18" t="str">
        <f>W32</f>
        <v>80</v>
      </c>
      <c r="X33" s="18" t="str">
        <f>X32</f>
        <v>4080</v>
      </c>
      <c r="Y33" s="46" t="str">
        <f>DEC2HEX(Y15)</f>
        <v>10000</v>
      </c>
      <c r="Z33" s="18"/>
      <c r="AA33" s="18"/>
      <c r="AE33" s="29"/>
      <c r="AF33" s="29"/>
      <c r="AG33" s="29"/>
      <c r="AH33" s="29"/>
      <c r="AP33" s="29"/>
      <c r="AQ33" s="29"/>
      <c r="AR33" s="29"/>
      <c r="AS33" s="29"/>
      <c r="AT33" s="29"/>
      <c r="AU33" s="29"/>
      <c r="AV33" s="29"/>
      <c r="AW33" s="29"/>
      <c r="AX33" s="29"/>
      <c r="AY33" s="29"/>
      <c r="AZ33" s="29"/>
      <c r="BA33" s="29"/>
      <c r="BB33" s="29"/>
      <c r="BC33" s="29"/>
      <c r="BD33" s="29"/>
      <c r="BE33" s="29"/>
      <c r="BF33" s="29"/>
    </row>
    <row r="34" spans="1:1024" ht="111.75" thickTop="1" thickBot="1">
      <c r="A34" s="22" t="s">
        <v>47</v>
      </c>
      <c r="B34" s="22" t="s">
        <v>279</v>
      </c>
      <c r="C34" s="284" t="str">
        <f>BIN2HEX(D16)</f>
        <v>5</v>
      </c>
      <c r="D34" s="284" t="str">
        <f>BIN2HEX(F16)</f>
        <v>0</v>
      </c>
      <c r="E34" s="284" t="str">
        <f>BIN2HEX(H16)</f>
        <v>C</v>
      </c>
      <c r="F34" s="284">
        <v>640</v>
      </c>
      <c r="G34" s="283" t="s">
        <v>213</v>
      </c>
      <c r="H34" s="282"/>
      <c r="I34" s="276">
        <v>28180640</v>
      </c>
      <c r="J34" s="29"/>
      <c r="K34" s="29"/>
      <c r="L34" s="29"/>
      <c r="M34" s="16"/>
      <c r="N34" s="18" t="str">
        <f>DEC2HEX(N16)</f>
        <v>0</v>
      </c>
      <c r="O34" s="18" t="str">
        <f>DEC2HEX(O16)</f>
        <v>8000</v>
      </c>
      <c r="P34" s="18" t="str">
        <f>DEC2HEX(P16)</f>
        <v>100</v>
      </c>
      <c r="Q34" s="18" t="str">
        <f>DEC2HEX(Q16)</f>
        <v>8100</v>
      </c>
      <c r="R34" s="18" t="str">
        <f>DEC2HEX(R16)</f>
        <v>8000</v>
      </c>
      <c r="S34" s="18" t="str">
        <f>DEC2HEX(S16)</f>
        <v>0</v>
      </c>
      <c r="T34" s="18" t="str">
        <f>DEC2HEX(T16)</f>
        <v>8100</v>
      </c>
      <c r="U34" s="18" t="str">
        <f>DEC2HEX(U16)</f>
        <v>8100</v>
      </c>
      <c r="V34" s="18" t="str">
        <f>V33</f>
        <v>FEFF</v>
      </c>
      <c r="W34" s="18" t="str">
        <f>W33</f>
        <v>80</v>
      </c>
      <c r="X34" s="18" t="str">
        <f>X33</f>
        <v>4080</v>
      </c>
      <c r="Y34" s="18" t="str">
        <f>DEC2HEX(Y16)</f>
        <v>10000</v>
      </c>
      <c r="Z34" s="27" t="str">
        <f>""&amp;DEC2HEX(A63)&amp;"|"&amp;DEC2HEX(A65)&amp;""</f>
        <v>0|40000000</v>
      </c>
      <c r="AA34" s="18"/>
      <c r="AE34" s="29"/>
      <c r="AF34" s="29"/>
      <c r="AG34" s="29"/>
      <c r="AH34" s="29"/>
      <c r="AP34" s="29"/>
      <c r="AQ34" s="29"/>
      <c r="AR34" s="29"/>
      <c r="AS34" s="29"/>
      <c r="AT34" s="29"/>
      <c r="AU34" s="29"/>
      <c r="AV34" s="29"/>
      <c r="AW34" s="29"/>
      <c r="AX34" s="29"/>
      <c r="AY34" s="29"/>
      <c r="AZ34" s="29"/>
      <c r="BA34" s="29"/>
      <c r="BB34" s="29"/>
      <c r="BC34" s="29"/>
      <c r="BD34" s="29"/>
      <c r="BE34" s="29"/>
      <c r="BF34" s="29"/>
    </row>
    <row r="35" spans="1:1024" ht="111.75" thickTop="1" thickBot="1">
      <c r="A35" s="22" t="s">
        <v>51</v>
      </c>
      <c r="B35" s="22" t="s">
        <v>285</v>
      </c>
      <c r="C35" s="284" t="str">
        <f>BIN2HEX(D17)</f>
        <v>6</v>
      </c>
      <c r="D35" s="284" t="str">
        <f>BIN2HEX(F17)</f>
        <v>0</v>
      </c>
      <c r="E35" s="284" t="str">
        <f>BIN2HEX(H17)</f>
        <v>D</v>
      </c>
      <c r="F35" s="284">
        <v>680</v>
      </c>
      <c r="G35" s="283" t="s">
        <v>213</v>
      </c>
      <c r="H35" s="282"/>
      <c r="I35" s="276" t="s">
        <v>286</v>
      </c>
      <c r="J35" s="29"/>
      <c r="K35" s="29"/>
      <c r="L35" s="29"/>
      <c r="M35" s="16"/>
      <c r="N35" s="18" t="str">
        <f>DEC2HEX(N17)</f>
        <v>0</v>
      </c>
      <c r="O35" s="18" t="str">
        <f>DEC2HEX(O17)</f>
        <v>8000</v>
      </c>
      <c r="P35" s="18" t="str">
        <f>DEC2HEX(P17)</f>
        <v>100</v>
      </c>
      <c r="Q35" s="18" t="str">
        <f>DEC2HEX(Q17)</f>
        <v>8100</v>
      </c>
      <c r="R35" s="18" t="str">
        <f>DEC2HEX(R17)</f>
        <v>8000</v>
      </c>
      <c r="S35" s="18" t="str">
        <f>DEC2HEX(S17)</f>
        <v>0</v>
      </c>
      <c r="T35" s="18" t="str">
        <f>DEC2HEX(T17)</f>
        <v>8100</v>
      </c>
      <c r="U35" s="18" t="str">
        <f>DEC2HEX(U17)</f>
        <v>8100</v>
      </c>
      <c r="V35" s="18" t="str">
        <f>V34</f>
        <v>FEFF</v>
      </c>
      <c r="W35" s="18" t="str">
        <f>W34</f>
        <v>80</v>
      </c>
      <c r="X35" s="18" t="str">
        <f>X34</f>
        <v>4080</v>
      </c>
      <c r="Y35" s="18" t="str">
        <f>DEC2HEX(Y17)</f>
        <v>10000</v>
      </c>
      <c r="Z35" s="18" t="str">
        <f>Z34</f>
        <v>0|40000000</v>
      </c>
      <c r="AA35" s="27" t="str">
        <f>""&amp;DEC2HEX(A59)&amp;"|"&amp;DEC2HEX(A61)&amp;""</f>
        <v>10200|10201</v>
      </c>
      <c r="AE35" s="29"/>
      <c r="AF35" s="29"/>
      <c r="AG35" s="29"/>
      <c r="AH35" s="29"/>
      <c r="AP35" s="29"/>
      <c r="AQ35" s="29"/>
      <c r="AR35" s="29"/>
      <c r="AS35" s="29"/>
      <c r="AT35" s="29"/>
      <c r="AU35" s="29"/>
      <c r="AV35" s="29"/>
      <c r="AW35" s="29"/>
      <c r="AX35" s="29"/>
      <c r="AY35" s="29"/>
      <c r="AZ35" s="29"/>
      <c r="BA35" s="29"/>
      <c r="BB35" s="29"/>
      <c r="BC35" s="29"/>
      <c r="BD35" s="29"/>
      <c r="BE35" s="29"/>
      <c r="BF35" s="29"/>
    </row>
    <row r="36" spans="1:1024" s="16" customFormat="1" ht="16.5" thickTop="1">
      <c r="E36" s="17"/>
      <c r="F36" s="17"/>
      <c r="K36" s="17"/>
      <c r="AE36" s="29"/>
      <c r="AF36" s="29"/>
      <c r="AG36" s="29"/>
      <c r="AH36" s="29"/>
      <c r="AP36" s="29"/>
      <c r="AQ36" s="29"/>
      <c r="AR36" s="29"/>
      <c r="AS36" s="29"/>
      <c r="AT36" s="29"/>
      <c r="AU36" s="29"/>
      <c r="AV36" s="29"/>
      <c r="AW36" s="29"/>
      <c r="AX36" s="29"/>
      <c r="AY36" s="29"/>
      <c r="AZ36" s="29"/>
      <c r="BA36" s="29"/>
      <c r="BB36" s="29"/>
      <c r="BC36" s="29"/>
      <c r="BD36" s="29"/>
      <c r="BE36" s="29"/>
      <c r="BF36" s="29"/>
      <c r="AMJ36" s="29"/>
    </row>
    <row r="37" spans="1:1024">
      <c r="AE37" s="29"/>
      <c r="AF37" s="29"/>
      <c r="AG37" s="29"/>
      <c r="AH37" s="29"/>
      <c r="AP37" s="29"/>
      <c r="AQ37" s="29"/>
      <c r="AR37" s="29"/>
      <c r="AS37" s="29"/>
      <c r="AT37" s="29"/>
      <c r="AU37" s="29"/>
      <c r="AV37" s="29"/>
      <c r="AW37" s="29"/>
      <c r="AX37" s="29"/>
      <c r="AY37" s="29"/>
      <c r="AZ37" s="29"/>
      <c r="BA37" s="29"/>
      <c r="BB37" s="29"/>
      <c r="BC37" s="29"/>
      <c r="BD37" s="29"/>
      <c r="BE37" s="29"/>
      <c r="BF37" s="29"/>
    </row>
    <row r="38" spans="1:1024">
      <c r="L38" s="29"/>
      <c r="AE38" s="29"/>
      <c r="AF38" s="29"/>
      <c r="AG38" s="29"/>
      <c r="AH38" s="29"/>
      <c r="AL38" s="29"/>
      <c r="AP38" s="29"/>
      <c r="AQ38" s="29"/>
      <c r="AR38" s="29"/>
      <c r="AS38" s="29"/>
      <c r="AT38" s="29"/>
      <c r="AU38" s="29"/>
      <c r="AV38" s="29"/>
      <c r="AW38" s="29"/>
      <c r="AX38" s="29"/>
      <c r="AY38" s="29"/>
      <c r="AZ38" s="29"/>
      <c r="BA38" s="29"/>
      <c r="BB38" s="29"/>
      <c r="BC38" s="29"/>
      <c r="BD38" s="29"/>
      <c r="BE38" s="29"/>
      <c r="BF38" s="29"/>
    </row>
    <row r="39" spans="1:1024">
      <c r="AE39" s="29"/>
      <c r="AF39" s="29"/>
      <c r="AG39" s="29"/>
      <c r="AH39" s="29"/>
      <c r="AL39" s="29"/>
      <c r="AP39" s="29"/>
      <c r="AQ39" s="29"/>
      <c r="AR39" s="29"/>
      <c r="AS39" s="29"/>
      <c r="AT39" s="29"/>
      <c r="AU39" s="29"/>
      <c r="AV39" s="29"/>
      <c r="AW39" s="29"/>
      <c r="AX39" s="29"/>
      <c r="AY39" s="29"/>
      <c r="AZ39" s="29"/>
      <c r="BA39" s="29"/>
      <c r="BB39" s="29"/>
      <c r="BC39" s="29"/>
      <c r="BD39" s="29"/>
      <c r="BE39" s="29"/>
      <c r="BF39" s="29"/>
    </row>
    <row r="40" spans="1:1024">
      <c r="A40" s="279">
        <v>0</v>
      </c>
      <c r="B40" s="279" t="s">
        <v>392</v>
      </c>
      <c r="AL40" s="29"/>
      <c r="AP40" s="29"/>
      <c r="AQ40" s="29"/>
      <c r="AR40" s="29"/>
      <c r="AS40" s="29"/>
      <c r="AT40" s="29"/>
      <c r="AU40" s="29"/>
      <c r="AV40" s="29"/>
      <c r="AW40" s="29"/>
      <c r="AX40" s="29"/>
      <c r="AY40" s="29"/>
      <c r="AZ40" s="29"/>
      <c r="BA40" s="29"/>
      <c r="BB40" s="29"/>
      <c r="BC40" s="29"/>
      <c r="BD40" s="29"/>
      <c r="BE40" s="29"/>
      <c r="BF40" s="29"/>
    </row>
    <row r="41" spans="1:1024">
      <c r="A41" s="278">
        <v>32768</v>
      </c>
      <c r="B41" s="279" t="s">
        <v>391</v>
      </c>
      <c r="AL41" s="29"/>
      <c r="AP41" s="29"/>
      <c r="AQ41" s="29"/>
      <c r="AR41" s="29"/>
      <c r="AS41" s="29"/>
      <c r="AT41" s="29"/>
      <c r="AU41" s="29"/>
      <c r="AV41" s="29"/>
      <c r="AW41" s="29"/>
      <c r="AX41" s="29"/>
      <c r="AY41" s="29"/>
      <c r="AZ41" s="29"/>
      <c r="BA41" s="29"/>
      <c r="BB41" s="29"/>
      <c r="BC41" s="29"/>
      <c r="BD41" s="29"/>
      <c r="BE41" s="29"/>
      <c r="BF41" s="29"/>
    </row>
    <row r="42" spans="1:1024">
      <c r="A42" s="278">
        <v>-256</v>
      </c>
      <c r="B42" s="279" t="s">
        <v>390</v>
      </c>
      <c r="AL42" s="29"/>
    </row>
    <row r="43" spans="1:1024">
      <c r="A43" s="278">
        <v>256</v>
      </c>
      <c r="B43" s="279" t="s">
        <v>389</v>
      </c>
      <c r="AL43" s="29"/>
    </row>
    <row r="44" spans="1:1024">
      <c r="A44" s="30"/>
      <c r="B44" s="30"/>
      <c r="AL44" s="29"/>
    </row>
    <row r="45" spans="1:1024">
      <c r="A45" s="281">
        <v>256</v>
      </c>
      <c r="B45" s="30" t="s">
        <v>388</v>
      </c>
      <c r="AL45" s="29"/>
    </row>
    <row r="46" spans="1:1024">
      <c r="A46" s="281" t="s">
        <v>33</v>
      </c>
      <c r="B46" s="30" t="s">
        <v>387</v>
      </c>
      <c r="AL46" s="29"/>
    </row>
    <row r="47" spans="1:1024">
      <c r="A47" s="30">
        <v>128</v>
      </c>
      <c r="B47" s="277" t="str">
        <f>SUBSTITUTE(B46,"_","")</f>
        <v>00000000000000000000000010000000</v>
      </c>
      <c r="AL47" s="29"/>
    </row>
    <row r="48" spans="1:1024">
      <c r="A48" s="30"/>
      <c r="B48" s="277"/>
      <c r="AL48" s="29"/>
    </row>
    <row r="49" spans="1:38">
      <c r="A49" s="279">
        <f>Q7</f>
        <v>33024</v>
      </c>
      <c r="B49" s="279" t="s">
        <v>383</v>
      </c>
      <c r="AL49" s="29"/>
    </row>
    <row r="50" spans="1:38">
      <c r="A50" s="279" t="s">
        <v>37</v>
      </c>
      <c r="B50" s="279" t="s">
        <v>386</v>
      </c>
      <c r="AL50" s="29"/>
    </row>
    <row r="51" spans="1:38">
      <c r="A51" s="279">
        <v>16512</v>
      </c>
      <c r="B51" s="278" t="str">
        <f>SUBSTITUTE(B50,"_","")</f>
        <v>00000000000000000100000010000000</v>
      </c>
      <c r="AL51" s="29"/>
    </row>
    <row r="52" spans="1:38">
      <c r="A52" s="30"/>
      <c r="B52" s="30"/>
      <c r="AL52" s="29"/>
    </row>
    <row r="53" spans="1:38">
      <c r="A53" s="280">
        <f>A41</f>
        <v>32768</v>
      </c>
      <c r="B53" s="30" t="s">
        <v>385</v>
      </c>
      <c r="AL53" s="29"/>
    </row>
    <row r="54" spans="1:38">
      <c r="A54" s="30" t="s">
        <v>273</v>
      </c>
      <c r="B54" s="30" t="s">
        <v>384</v>
      </c>
      <c r="AL54" s="29"/>
    </row>
    <row r="55" spans="1:38">
      <c r="A55" s="30">
        <v>65536</v>
      </c>
      <c r="B55" s="277" t="str">
        <f>SUBSTITUTE(B54,"_","")</f>
        <v>00000000000000010000000000000000</v>
      </c>
      <c r="AL55" s="29"/>
    </row>
    <row r="56" spans="1:38">
      <c r="A56" s="30"/>
      <c r="B56" s="30"/>
    </row>
    <row r="57" spans="1:38">
      <c r="A57" s="279">
        <f>T10</f>
        <v>33024</v>
      </c>
      <c r="B57" s="279" t="s">
        <v>383</v>
      </c>
    </row>
    <row r="58" spans="1:38">
      <c r="A58" s="279" t="s">
        <v>382</v>
      </c>
      <c r="B58" s="279" t="s">
        <v>381</v>
      </c>
    </row>
    <row r="59" spans="1:38">
      <c r="A59" s="279">
        <v>66048</v>
      </c>
      <c r="B59" s="278" t="str">
        <f>SUBSTITUTE(B58,"_","")</f>
        <v>00000000000000010000001000000000</v>
      </c>
    </row>
    <row r="60" spans="1:38">
      <c r="A60" s="279" t="s">
        <v>380</v>
      </c>
      <c r="B60" s="279" t="s">
        <v>379</v>
      </c>
    </row>
    <row r="61" spans="1:38">
      <c r="A61" s="279">
        <v>66049</v>
      </c>
      <c r="B61" s="278" t="str">
        <f>SUBSTITUTE(B60,"_","")</f>
        <v>00000000000000010000001000000001</v>
      </c>
    </row>
    <row r="62" spans="1:38">
      <c r="A62" s="30"/>
      <c r="B62" s="30"/>
    </row>
    <row r="63" spans="1:38">
      <c r="A63" s="30">
        <f>S9</f>
        <v>0</v>
      </c>
      <c r="B63" s="30" t="s">
        <v>378</v>
      </c>
    </row>
    <row r="64" spans="1:38">
      <c r="A64" s="30" t="s">
        <v>377</v>
      </c>
      <c r="B64" s="30" t="s">
        <v>376</v>
      </c>
    </row>
    <row r="65" spans="1:13">
      <c r="A65" s="30">
        <v>1073741824</v>
      </c>
      <c r="B65" s="277" t="str">
        <f>SUBSTITUTE(B64,"_","")</f>
        <v>1000000000000000000000000000000</v>
      </c>
    </row>
    <row r="68" spans="1:13">
      <c r="M68" s="276">
        <v>10040280</v>
      </c>
    </row>
  </sheetData>
  <mergeCells count="3">
    <mergeCell ref="AG3:AH3"/>
    <mergeCell ref="AI3:AJ3"/>
    <mergeCell ref="AL3:AN3"/>
  </mergeCells>
  <pageMargins left="0.7" right="0.7" top="0.75" bottom="0.75"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OP_CODES</vt:lpstr>
      <vt:lpstr>Whole Processor Validation Key</vt:lpstr>
      <vt:lpstr>Validating JMP</vt:lpstr>
      <vt:lpstr>Validating JSR,RTS</vt:lpstr>
      <vt:lpstr>Validating BEQ</vt:lpstr>
      <vt:lpstr>Register File Table</vt:lpstr>
      <vt:lpstr>MEMORY Table</vt:lpstr>
      <vt:lpstr>Copyable Debugging Format</vt:lpstr>
      <vt:lpstr>Copyable Test Set Format</vt:lpstr>
      <vt:lpstr>Pseudocode Test Script Phase#2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Fourney</dc:creator>
  <cp:lastModifiedBy>Jordatech</cp:lastModifiedBy>
  <cp:revision>0</cp:revision>
  <cp:lastPrinted>2014-11-06T20:10:32Z</cp:lastPrinted>
  <dcterms:created xsi:type="dcterms:W3CDTF">2014-10-17T16:42:55Z</dcterms:created>
  <dcterms:modified xsi:type="dcterms:W3CDTF">2014-11-23T02:52:58Z</dcterms:modified>
</cp:coreProperties>
</file>